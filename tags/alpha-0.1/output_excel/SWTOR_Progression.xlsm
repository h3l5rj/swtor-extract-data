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80" windowWidth="18915" windowHeight="12270"/>
  </bookViews>
  <sheets>
    <sheet name="Datacrons" sheetId="2" r:id="rId1"/>
    <sheet name="Cad. Partenaires" sheetId="1" r:id="rId2"/>
  </sheets>
  <definedNames>
    <definedName name="_xlnm._FilterDatabase" localSheetId="0" hidden="1">Datacrons!$B$12:$BA$102</definedName>
  </definedNames>
  <calcPr calcId="145621"/>
</workbook>
</file>

<file path=xl/calcChain.xml><?xml version="1.0" encoding="utf-8"?>
<calcChain xmlns="http://schemas.openxmlformats.org/spreadsheetml/2006/main">
  <c r="AW14" i="2" l="1"/>
  <c r="AW15" i="2"/>
  <c r="AW16" i="2"/>
  <c r="AW17" i="2"/>
  <c r="AW18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44" i="2"/>
  <c r="AW45" i="2"/>
  <c r="AW46" i="2"/>
  <c r="AW47" i="2"/>
  <c r="AW48" i="2"/>
  <c r="AW49" i="2"/>
  <c r="AW50" i="2"/>
  <c r="AW51" i="2"/>
  <c r="AW52" i="2"/>
  <c r="AW53" i="2"/>
  <c r="AW54" i="2"/>
  <c r="AW55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W72" i="2"/>
  <c r="AW73" i="2"/>
  <c r="AW74" i="2"/>
  <c r="AW75" i="2"/>
  <c r="AW76" i="2"/>
  <c r="AW77" i="2"/>
  <c r="AW78" i="2"/>
  <c r="AW79" i="2"/>
  <c r="AW80" i="2"/>
  <c r="AW81" i="2"/>
  <c r="AW82" i="2"/>
  <c r="AW83" i="2"/>
  <c r="AW84" i="2"/>
  <c r="AW85" i="2"/>
  <c r="AW86" i="2"/>
  <c r="AW87" i="2"/>
  <c r="AW88" i="2"/>
  <c r="AW89" i="2"/>
  <c r="AW90" i="2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T14" i="2"/>
  <c r="AT15" i="2"/>
  <c r="AT16" i="2"/>
  <c r="AT17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3" i="2"/>
  <c r="AT13" i="2"/>
  <c r="AU13" i="2"/>
  <c r="AV13" i="2"/>
  <c r="AW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AR40" i="2"/>
  <c r="AR41" i="2"/>
  <c r="AR42" i="2"/>
  <c r="AR43" i="2"/>
  <c r="AR44" i="2"/>
  <c r="AR45" i="2"/>
  <c r="AR46" i="2"/>
  <c r="AR48" i="2"/>
  <c r="AR49" i="2"/>
  <c r="AR50" i="2"/>
  <c r="AR51" i="2"/>
  <c r="AR52" i="2"/>
  <c r="AR53" i="2"/>
  <c r="AR54" i="2"/>
  <c r="AR55" i="2"/>
  <c r="AR56" i="2"/>
  <c r="AR57" i="2"/>
  <c r="AR59" i="2"/>
  <c r="AR60" i="2"/>
  <c r="AR61" i="2"/>
  <c r="AR62" i="2"/>
  <c r="AR63" i="2"/>
  <c r="AR64" i="2"/>
  <c r="AR65" i="2"/>
  <c r="AR66" i="2"/>
  <c r="AR67" i="2"/>
  <c r="AR68" i="2"/>
  <c r="AR69" i="2"/>
  <c r="AR70" i="2"/>
  <c r="AR71" i="2"/>
  <c r="AR72" i="2"/>
  <c r="AR73" i="2"/>
  <c r="AR74" i="2"/>
  <c r="AR75" i="2"/>
  <c r="AR76" i="2"/>
  <c r="AR77" i="2"/>
  <c r="AR78" i="2"/>
  <c r="AR79" i="2"/>
  <c r="AR80" i="2"/>
  <c r="AR81" i="2"/>
  <c r="AR82" i="2"/>
  <c r="AR83" i="2"/>
  <c r="AR84" i="2"/>
  <c r="AR85" i="2"/>
  <c r="AR86" i="2"/>
  <c r="AR87" i="2"/>
  <c r="AR88" i="2"/>
  <c r="AR89" i="2"/>
  <c r="AR90" i="2"/>
  <c r="AR91" i="2"/>
  <c r="AR92" i="2"/>
  <c r="AR93" i="2"/>
  <c r="AR94" i="2"/>
  <c r="AR95" i="2"/>
  <c r="AR96" i="2"/>
  <c r="AR97" i="2"/>
  <c r="AR98" i="2"/>
  <c r="AR99" i="2"/>
  <c r="AR100" i="2"/>
  <c r="AR101" i="2"/>
  <c r="AR102" i="2"/>
  <c r="AR13" i="2"/>
  <c r="AN14" i="2"/>
  <c r="AN15" i="2"/>
  <c r="AN16" i="2"/>
  <c r="AN17" i="2"/>
  <c r="AN18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3" i="2"/>
  <c r="AN74" i="2"/>
  <c r="AN75" i="2"/>
  <c r="AN76" i="2"/>
  <c r="AN77" i="2"/>
  <c r="AN78" i="2"/>
  <c r="AN79" i="2"/>
  <c r="AN80" i="2"/>
  <c r="AN81" i="2"/>
  <c r="AN82" i="2"/>
  <c r="AN83" i="2"/>
  <c r="AN85" i="2"/>
  <c r="AN86" i="2"/>
  <c r="AN87" i="2"/>
  <c r="AN88" i="2"/>
  <c r="AN89" i="2"/>
  <c r="AN90" i="2"/>
  <c r="AN92" i="2"/>
  <c r="AN93" i="2"/>
  <c r="AN94" i="2"/>
  <c r="AN95" i="2"/>
  <c r="AN96" i="2"/>
  <c r="AN97" i="2"/>
  <c r="AN98" i="2"/>
  <c r="AN99" i="2"/>
  <c r="AN100" i="2"/>
  <c r="AN101" i="2"/>
  <c r="AN102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80" i="2"/>
  <c r="AM81" i="2"/>
  <c r="AM82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L14" i="2"/>
  <c r="AL15" i="2"/>
  <c r="AL16" i="2"/>
  <c r="AL17" i="2"/>
  <c r="AL18" i="2"/>
  <c r="AL19" i="2"/>
  <c r="AL20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70" i="2"/>
  <c r="AL71" i="2"/>
  <c r="AL72" i="2"/>
  <c r="AL73" i="2"/>
  <c r="AL74" i="2"/>
  <c r="AL75" i="2"/>
  <c r="AL76" i="2"/>
  <c r="AL77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K14" i="2"/>
  <c r="AK15" i="2"/>
  <c r="AK16" i="2"/>
  <c r="AK17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5" i="2"/>
  <c r="AK76" i="2"/>
  <c r="AK77" i="2"/>
  <c r="AK78" i="2"/>
  <c r="AK79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4" i="2"/>
  <c r="AK95" i="2"/>
  <c r="AK96" i="2"/>
  <c r="AK97" i="2"/>
  <c r="AK98" i="2"/>
  <c r="AK99" i="2"/>
  <c r="AK100" i="2"/>
  <c r="AK101" i="2"/>
  <c r="AK102" i="2"/>
  <c r="AJ14" i="2"/>
  <c r="AJ15" i="2"/>
  <c r="AJ16" i="2"/>
  <c r="AJ17" i="2"/>
  <c r="AJ18" i="2"/>
  <c r="AJ19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1" i="2"/>
  <c r="AJ92" i="2"/>
  <c r="AJ93" i="2"/>
  <c r="AJ94" i="2"/>
  <c r="AJ95" i="2"/>
  <c r="AJ96" i="2"/>
  <c r="AJ97" i="2"/>
  <c r="AJ99" i="2"/>
  <c r="AJ100" i="2"/>
  <c r="AJ101" i="2"/>
  <c r="AJ102" i="2"/>
  <c r="AJ13" i="2"/>
  <c r="AK13" i="2"/>
  <c r="AL13" i="2"/>
  <c r="AM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4" i="2"/>
  <c r="AI75" i="2"/>
  <c r="AI76" i="2"/>
  <c r="AI77" i="2"/>
  <c r="AI78" i="2"/>
  <c r="AI79" i="2"/>
  <c r="AI80" i="2"/>
  <c r="AI81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6" i="2"/>
  <c r="AD97" i="2"/>
  <c r="AD98" i="2"/>
  <c r="AD99" i="2"/>
  <c r="AD100" i="2"/>
  <c r="AD101" i="2"/>
  <c r="AD102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6" i="2"/>
  <c r="AA87" i="2"/>
  <c r="AA88" i="2"/>
  <c r="AA89" i="2"/>
  <c r="AA90" i="2"/>
  <c r="AA91" i="2"/>
  <c r="AA92" i="2"/>
  <c r="AA93" i="2"/>
  <c r="AA94" i="2"/>
  <c r="AA95" i="2"/>
  <c r="AA97" i="2"/>
  <c r="AA98" i="2"/>
  <c r="AA99" i="2"/>
  <c r="AA100" i="2"/>
  <c r="AA101" i="2"/>
  <c r="AA102" i="2"/>
  <c r="AA13" i="2"/>
  <c r="AB13" i="2"/>
  <c r="AC13" i="2"/>
  <c r="AD13" i="2"/>
  <c r="AE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3" i="2"/>
  <c r="V14" i="2"/>
  <c r="V15" i="2"/>
  <c r="V16" i="2"/>
  <c r="V17" i="2"/>
  <c r="V18" i="2"/>
  <c r="V19" i="2"/>
  <c r="V20" i="2"/>
  <c r="V21" i="2"/>
  <c r="V22" i="2"/>
  <c r="V24" i="2"/>
  <c r="V25" i="2"/>
  <c r="V26" i="2"/>
  <c r="V27" i="2"/>
  <c r="V28" i="2"/>
  <c r="V29" i="2"/>
  <c r="V30" i="2"/>
  <c r="V32" i="2"/>
  <c r="V33" i="2"/>
  <c r="V34" i="2"/>
  <c r="V35" i="2"/>
  <c r="V36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8" i="2"/>
  <c r="V69" i="2"/>
  <c r="V70" i="2"/>
  <c r="V71" i="2"/>
  <c r="V72" i="2"/>
  <c r="V73" i="2"/>
  <c r="V74" i="2"/>
  <c r="V75" i="2"/>
  <c r="V76" i="2"/>
  <c r="V78" i="2"/>
  <c r="V79" i="2"/>
  <c r="V80" i="2"/>
  <c r="V81" i="2"/>
  <c r="V82" i="2"/>
  <c r="V84" i="2"/>
  <c r="V85" i="2"/>
  <c r="V86" i="2"/>
  <c r="V87" i="2"/>
  <c r="V88" i="2"/>
  <c r="V89" i="2"/>
  <c r="V90" i="2"/>
  <c r="V92" i="2"/>
  <c r="V93" i="2"/>
  <c r="V94" i="2"/>
  <c r="V95" i="2"/>
  <c r="V96" i="2"/>
  <c r="V97" i="2"/>
  <c r="V98" i="2"/>
  <c r="V99" i="2"/>
  <c r="V100" i="2"/>
  <c r="V101" i="2"/>
  <c r="V102" i="2"/>
  <c r="U14" i="2"/>
  <c r="U15" i="2"/>
  <c r="U16" i="2"/>
  <c r="U18" i="2"/>
  <c r="U19" i="2"/>
  <c r="U20" i="2"/>
  <c r="U21" i="2"/>
  <c r="U22" i="2"/>
  <c r="U23" i="2"/>
  <c r="U24" i="2"/>
  <c r="U25" i="2"/>
  <c r="U27" i="2"/>
  <c r="U28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5" i="2"/>
  <c r="U46" i="2"/>
  <c r="U47" i="2"/>
  <c r="U48" i="2"/>
  <c r="U49" i="2"/>
  <c r="U50" i="2"/>
  <c r="U51" i="2"/>
  <c r="U52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6" i="2"/>
  <c r="U97" i="2"/>
  <c r="U98" i="2"/>
  <c r="U99" i="2"/>
  <c r="U101" i="2"/>
  <c r="U102" i="2"/>
  <c r="T14" i="2"/>
  <c r="T15" i="2"/>
  <c r="T16" i="2"/>
  <c r="T17" i="2"/>
  <c r="T18" i="2"/>
  <c r="T19" i="2"/>
  <c r="T20" i="2"/>
  <c r="T21" i="2"/>
  <c r="T22" i="2"/>
  <c r="T23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9" i="2"/>
  <c r="T40" i="2"/>
  <c r="T41" i="2"/>
  <c r="T42" i="2"/>
  <c r="T43" i="2"/>
  <c r="T44" i="2"/>
  <c r="T46" i="2"/>
  <c r="T47" i="2"/>
  <c r="T48" i="2"/>
  <c r="T49" i="2"/>
  <c r="T50" i="2"/>
  <c r="T51" i="2"/>
  <c r="T52" i="2"/>
  <c r="T53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70" i="2"/>
  <c r="T71" i="2"/>
  <c r="T72" i="2"/>
  <c r="T73" i="2"/>
  <c r="T74" i="2"/>
  <c r="T75" i="2"/>
  <c r="T76" i="2"/>
  <c r="T77" i="2"/>
  <c r="T79" i="2"/>
  <c r="T80" i="2"/>
  <c r="T81" i="2"/>
  <c r="T82" i="2"/>
  <c r="T83" i="2"/>
  <c r="T85" i="2"/>
  <c r="T86" i="2"/>
  <c r="T87" i="2"/>
  <c r="T88" i="2"/>
  <c r="T90" i="2"/>
  <c r="T91" i="2"/>
  <c r="T92" i="2"/>
  <c r="T93" i="2"/>
  <c r="T94" i="2"/>
  <c r="T95" i="2"/>
  <c r="T96" i="2"/>
  <c r="T97" i="2"/>
  <c r="T98" i="2"/>
  <c r="T99" i="2"/>
  <c r="T100" i="2"/>
  <c r="T101" i="2"/>
  <c r="S14" i="2"/>
  <c r="S15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4" i="2"/>
  <c r="S35" i="2"/>
  <c r="S36" i="2"/>
  <c r="S37" i="2"/>
  <c r="S38" i="2"/>
  <c r="S39" i="2"/>
  <c r="S40" i="2"/>
  <c r="S41" i="2"/>
  <c r="S42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1" i="2"/>
  <c r="S72" i="2"/>
  <c r="S73" i="2"/>
  <c r="S74" i="2"/>
  <c r="S75" i="2"/>
  <c r="S76" i="2"/>
  <c r="S77" i="2"/>
  <c r="S78" i="2"/>
  <c r="S79" i="2"/>
  <c r="S81" i="2"/>
  <c r="S83" i="2"/>
  <c r="S84" i="2"/>
  <c r="S85" i="2"/>
  <c r="S86" i="2"/>
  <c r="S87" i="2"/>
  <c r="S88" i="2"/>
  <c r="S89" i="2"/>
  <c r="S90" i="2"/>
  <c r="S91" i="2"/>
  <c r="S92" i="2"/>
  <c r="S94" i="2"/>
  <c r="S95" i="2"/>
  <c r="S96" i="2"/>
  <c r="S97" i="2"/>
  <c r="S98" i="2"/>
  <c r="S99" i="2"/>
  <c r="S100" i="2"/>
  <c r="S102" i="2"/>
  <c r="R14" i="2"/>
  <c r="R16" i="2"/>
  <c r="R17" i="2"/>
  <c r="R18" i="2"/>
  <c r="R19" i="2"/>
  <c r="R20" i="2"/>
  <c r="R21" i="2"/>
  <c r="R22" i="2"/>
  <c r="R23" i="2"/>
  <c r="R24" i="2"/>
  <c r="R25" i="2"/>
  <c r="R26" i="2"/>
  <c r="R29" i="2"/>
  <c r="R30" i="2"/>
  <c r="R31" i="2"/>
  <c r="R32" i="2"/>
  <c r="R33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6" i="2"/>
  <c r="R87" i="2"/>
  <c r="R88" i="2"/>
  <c r="R89" i="2"/>
  <c r="R91" i="2"/>
  <c r="R92" i="2"/>
  <c r="R93" i="2"/>
  <c r="R94" i="2"/>
  <c r="R95" i="2"/>
  <c r="R97" i="2"/>
  <c r="R99" i="2"/>
  <c r="R100" i="2"/>
  <c r="R101" i="2"/>
  <c r="R102" i="2"/>
  <c r="R13" i="2"/>
  <c r="S13" i="2"/>
  <c r="T13" i="2"/>
  <c r="U13" i="2"/>
  <c r="Q15" i="2"/>
  <c r="Q16" i="2"/>
  <c r="Q17" i="2"/>
  <c r="Q18" i="2"/>
  <c r="Q19" i="2"/>
  <c r="Q20" i="2"/>
  <c r="Q21" i="2"/>
  <c r="Q22" i="2"/>
  <c r="Q23" i="2"/>
  <c r="Q24" i="2"/>
  <c r="Q26" i="2"/>
  <c r="Q27" i="2"/>
  <c r="Q28" i="2"/>
  <c r="Q29" i="2"/>
  <c r="Q31" i="2"/>
  <c r="Q32" i="2"/>
  <c r="Q33" i="2"/>
  <c r="Q34" i="2"/>
  <c r="Q35" i="2"/>
  <c r="Q36" i="2"/>
  <c r="Q37" i="2"/>
  <c r="Q38" i="2"/>
  <c r="Q39" i="2"/>
  <c r="Q40" i="2"/>
  <c r="Q42" i="2"/>
  <c r="Q43" i="2"/>
  <c r="Q44" i="2"/>
  <c r="Q45" i="2"/>
  <c r="Q46" i="2"/>
  <c r="Q47" i="2"/>
  <c r="Q48" i="2"/>
  <c r="Q49" i="2"/>
  <c r="Q50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9" i="2"/>
  <c r="Q70" i="2"/>
  <c r="Q71" i="2"/>
  <c r="Q72" i="2"/>
  <c r="Q73" i="2"/>
  <c r="Q74" i="2"/>
  <c r="Q75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100" i="2"/>
  <c r="Q101" i="2"/>
  <c r="Q102" i="2"/>
  <c r="Q13" i="2"/>
  <c r="K14" i="2"/>
  <c r="K15" i="2"/>
  <c r="K16" i="2"/>
  <c r="K17" i="2"/>
  <c r="K18" i="2"/>
  <c r="AT18" i="2" s="1"/>
  <c r="K19" i="2"/>
  <c r="AW19" i="2" s="1"/>
  <c r="K20" i="2"/>
  <c r="AJ20" i="2" s="1"/>
  <c r="K21" i="2"/>
  <c r="AL21" i="2" s="1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AT46" i="2" s="1"/>
  <c r="K47" i="2"/>
  <c r="AR47" i="2" s="1"/>
  <c r="K48" i="2"/>
  <c r="AU48" i="2" s="1"/>
  <c r="K49" i="2"/>
  <c r="K50" i="2"/>
  <c r="AV50" i="2" s="1"/>
  <c r="K51" i="2"/>
  <c r="K52" i="2"/>
  <c r="K53" i="2"/>
  <c r="K54" i="2"/>
  <c r="K55" i="2"/>
  <c r="K56" i="2"/>
  <c r="AW56" i="2" s="1"/>
  <c r="K57" i="2"/>
  <c r="K58" i="2"/>
  <c r="AR58" i="2" s="1"/>
  <c r="K59" i="2"/>
  <c r="K60" i="2"/>
  <c r="K61" i="2"/>
  <c r="K62" i="2"/>
  <c r="K63" i="2"/>
  <c r="K64" i="2"/>
  <c r="AJ64" i="2" s="1"/>
  <c r="K65" i="2"/>
  <c r="AM65" i="2" s="1"/>
  <c r="K66" i="2"/>
  <c r="K67" i="2"/>
  <c r="K68" i="2"/>
  <c r="K69" i="2"/>
  <c r="AL69" i="2" s="1"/>
  <c r="K70" i="2"/>
  <c r="K71" i="2"/>
  <c r="K72" i="2"/>
  <c r="AN72" i="2" s="1"/>
  <c r="K73" i="2"/>
  <c r="AI73" i="2" s="1"/>
  <c r="K74" i="2"/>
  <c r="AK74" i="2" s="1"/>
  <c r="K75" i="2"/>
  <c r="K76" i="2"/>
  <c r="K77" i="2"/>
  <c r="K78" i="2"/>
  <c r="AL78" i="2" s="1"/>
  <c r="K79" i="2"/>
  <c r="AM79" i="2" s="1"/>
  <c r="K80" i="2"/>
  <c r="AK80" i="2" s="1"/>
  <c r="K81" i="2"/>
  <c r="K82" i="2"/>
  <c r="AI82" i="2" s="1"/>
  <c r="K83" i="2"/>
  <c r="AM83" i="2" s="1"/>
  <c r="K84" i="2"/>
  <c r="AN84" i="2" s="1"/>
  <c r="K85" i="2"/>
  <c r="K86" i="2"/>
  <c r="K87" i="2"/>
  <c r="K88" i="2"/>
  <c r="K89" i="2"/>
  <c r="K90" i="2"/>
  <c r="AJ90" i="2" s="1"/>
  <c r="K91" i="2"/>
  <c r="AN91" i="2" s="1"/>
  <c r="K92" i="2"/>
  <c r="K93" i="2"/>
  <c r="AK93" i="2" s="1"/>
  <c r="K94" i="2"/>
  <c r="K95" i="2"/>
  <c r="K96" i="2"/>
  <c r="K97" i="2"/>
  <c r="K98" i="2"/>
  <c r="AJ98" i="2" s="1"/>
  <c r="K99" i="2"/>
  <c r="K100" i="2"/>
  <c r="K101" i="2"/>
  <c r="K102" i="2"/>
  <c r="K13" i="2"/>
  <c r="AN13" i="2" s="1"/>
  <c r="H14" i="2"/>
  <c r="Q14" i="2" s="1"/>
  <c r="H15" i="2"/>
  <c r="R15" i="2" s="1"/>
  <c r="H16" i="2"/>
  <c r="S16" i="2" s="1"/>
  <c r="H17" i="2"/>
  <c r="U17" i="2" s="1"/>
  <c r="H18" i="2"/>
  <c r="H19" i="2"/>
  <c r="H20" i="2"/>
  <c r="H21" i="2"/>
  <c r="H22" i="2"/>
  <c r="H23" i="2"/>
  <c r="V23" i="2" s="1"/>
  <c r="H24" i="2"/>
  <c r="T24" i="2" s="1"/>
  <c r="H25" i="2"/>
  <c r="Q25" i="2" s="1"/>
  <c r="H26" i="2"/>
  <c r="U26" i="2" s="1"/>
  <c r="H27" i="2"/>
  <c r="R27" i="2" s="1"/>
  <c r="H28" i="2"/>
  <c r="R28" i="2" s="1"/>
  <c r="H29" i="2"/>
  <c r="U29" i="2" s="1"/>
  <c r="H30" i="2"/>
  <c r="Q30" i="2" s="1"/>
  <c r="H31" i="2"/>
  <c r="V31" i="2" s="1"/>
  <c r="H32" i="2"/>
  <c r="H33" i="2"/>
  <c r="S33" i="2" s="1"/>
  <c r="H34" i="2"/>
  <c r="R34" i="2" s="1"/>
  <c r="H35" i="2"/>
  <c r="H36" i="2"/>
  <c r="H37" i="2"/>
  <c r="V37" i="2" s="1"/>
  <c r="H38" i="2"/>
  <c r="T38" i="2" s="1"/>
  <c r="H39" i="2"/>
  <c r="H40" i="2"/>
  <c r="H41" i="2"/>
  <c r="Q41" i="2" s="1"/>
  <c r="H42" i="2"/>
  <c r="H43" i="2"/>
  <c r="S43" i="2" s="1"/>
  <c r="H44" i="2"/>
  <c r="U44" i="2" s="1"/>
  <c r="H45" i="2"/>
  <c r="T45" i="2" s="1"/>
  <c r="H46" i="2"/>
  <c r="H47" i="2"/>
  <c r="H48" i="2"/>
  <c r="H49" i="2"/>
  <c r="H50" i="2"/>
  <c r="H51" i="2"/>
  <c r="Q51" i="2" s="1"/>
  <c r="H52" i="2"/>
  <c r="H53" i="2"/>
  <c r="U53" i="2" s="1"/>
  <c r="H54" i="2"/>
  <c r="T54" i="2" s="1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V67" i="2" s="1"/>
  <c r="H68" i="2"/>
  <c r="Q68" i="2" s="1"/>
  <c r="H69" i="2"/>
  <c r="T69" i="2" s="1"/>
  <c r="H70" i="2"/>
  <c r="S70" i="2" s="1"/>
  <c r="H71" i="2"/>
  <c r="H72" i="2"/>
  <c r="H73" i="2"/>
  <c r="H74" i="2"/>
  <c r="H75" i="2"/>
  <c r="H76" i="2"/>
  <c r="Q76" i="2" s="1"/>
  <c r="H77" i="2"/>
  <c r="V77" i="2" s="1"/>
  <c r="H78" i="2"/>
  <c r="T78" i="2" s="1"/>
  <c r="H79" i="2"/>
  <c r="U79" i="2" s="1"/>
  <c r="H80" i="2"/>
  <c r="S80" i="2" s="1"/>
  <c r="H81" i="2"/>
  <c r="H82" i="2"/>
  <c r="S82" i="2" s="1"/>
  <c r="H83" i="2"/>
  <c r="V83" i="2" s="1"/>
  <c r="H84" i="2"/>
  <c r="T84" i="2" s="1"/>
  <c r="H85" i="2"/>
  <c r="R85" i="2" s="1"/>
  <c r="H86" i="2"/>
  <c r="H87" i="2"/>
  <c r="H88" i="2"/>
  <c r="H89" i="2"/>
  <c r="T89" i="2" s="1"/>
  <c r="H90" i="2"/>
  <c r="R90" i="2" s="1"/>
  <c r="H91" i="2"/>
  <c r="V91" i="2" s="1"/>
  <c r="H92" i="2"/>
  <c r="H93" i="2"/>
  <c r="S93" i="2" s="1"/>
  <c r="H94" i="2"/>
  <c r="H95" i="2"/>
  <c r="U95" i="2" s="1"/>
  <c r="H96" i="2"/>
  <c r="R96" i="2" s="1"/>
  <c r="H97" i="2"/>
  <c r="H98" i="2"/>
  <c r="R98" i="2" s="1"/>
  <c r="H99" i="2"/>
  <c r="Q99" i="2" s="1"/>
  <c r="H100" i="2"/>
  <c r="U100" i="2" s="1"/>
  <c r="H101" i="2"/>
  <c r="S101" i="2" s="1"/>
  <c r="H102" i="2"/>
  <c r="T102" i="2" s="1"/>
  <c r="H13" i="2"/>
  <c r="V13" i="2" s="1"/>
  <c r="Z6" i="2" l="1"/>
  <c r="AC10" i="2"/>
  <c r="AC9" i="2"/>
  <c r="AE8" i="2"/>
  <c r="AE6" i="2"/>
  <c r="AC5" i="2"/>
  <c r="Z9" i="2"/>
  <c r="AE10" i="2"/>
  <c r="AG10" i="2" s="1"/>
  <c r="AR6" i="2"/>
  <c r="AW8" i="2"/>
  <c r="AT5" i="2"/>
  <c r="Z8" i="2"/>
  <c r="AI47" i="2"/>
  <c r="AI5" i="2" s="1"/>
  <c r="AP5" i="2" s="1"/>
  <c r="AK46" i="2"/>
  <c r="AK18" i="2"/>
  <c r="AB43" i="2"/>
  <c r="AB10" i="2" s="1"/>
  <c r="AC7" i="2"/>
  <c r="AA85" i="2"/>
  <c r="AJ9" i="2"/>
  <c r="AJ10" i="2"/>
  <c r="AM50" i="2"/>
  <c r="AM5" i="2" s="1"/>
  <c r="AN19" i="2"/>
  <c r="AN7" i="2" s="1"/>
  <c r="AR5" i="2"/>
  <c r="AY5" i="2" s="1"/>
  <c r="AR8" i="2"/>
  <c r="AW6" i="2"/>
  <c r="AS8" i="2"/>
  <c r="AS6" i="2"/>
  <c r="AY6" i="2" s="1"/>
  <c r="AU5" i="2"/>
  <c r="AA96" i="2"/>
  <c r="AA8" i="2" s="1"/>
  <c r="AD95" i="2"/>
  <c r="AD10" i="2" s="1"/>
  <c r="AL48" i="2"/>
  <c r="AL6" i="2" s="1"/>
  <c r="AS10" i="2"/>
  <c r="AT6" i="2"/>
  <c r="AU9" i="2"/>
  <c r="AV10" i="2"/>
  <c r="AT7" i="2"/>
  <c r="AY7" i="2" s="1"/>
  <c r="AT8" i="2"/>
  <c r="AW10" i="2"/>
  <c r="AY10" i="2" s="1"/>
  <c r="AV5" i="2"/>
  <c r="AV6" i="2"/>
  <c r="AV9" i="2"/>
  <c r="AY9" i="2" s="1"/>
  <c r="AV7" i="2"/>
  <c r="AV8" i="2"/>
  <c r="AU10" i="2"/>
  <c r="AU7" i="2"/>
  <c r="AT10" i="2"/>
  <c r="AT9" i="2"/>
  <c r="AS9" i="2"/>
  <c r="AW9" i="2"/>
  <c r="AR7" i="2"/>
  <c r="AR10" i="2"/>
  <c r="AR9" i="2"/>
  <c r="AS5" i="2"/>
  <c r="AW5" i="2"/>
  <c r="AU6" i="2"/>
  <c r="AS7" i="2"/>
  <c r="AW7" i="2"/>
  <c r="AU8" i="2"/>
  <c r="AY8" i="2" s="1"/>
  <c r="AJ5" i="2"/>
  <c r="AJ7" i="2"/>
  <c r="AI10" i="2"/>
  <c r="AK8" i="2"/>
  <c r="AL5" i="2"/>
  <c r="AJ6" i="2"/>
  <c r="AP6" i="2" s="1"/>
  <c r="AL7" i="2"/>
  <c r="AJ8" i="2"/>
  <c r="AB5" i="2"/>
  <c r="AE9" i="2"/>
  <c r="Z10" i="2"/>
  <c r="Z5" i="2"/>
  <c r="AG5" i="2" s="1"/>
  <c r="Z7" i="2"/>
  <c r="AE5" i="2"/>
  <c r="AC6" i="2"/>
  <c r="AE7" i="2"/>
  <c r="AC8" i="2"/>
  <c r="AG8" i="2" s="1"/>
  <c r="V10" i="2"/>
  <c r="X10" i="2" s="1"/>
  <c r="V6" i="2"/>
  <c r="V8" i="2"/>
  <c r="R7" i="2"/>
  <c r="V7" i="2"/>
  <c r="V9" i="2"/>
  <c r="V5" i="2"/>
  <c r="T6" i="2"/>
  <c r="U8" i="2"/>
  <c r="U5" i="2"/>
  <c r="U9" i="2"/>
  <c r="X9" i="2" s="1"/>
  <c r="U7" i="2"/>
  <c r="U6" i="2"/>
  <c r="U10" i="2"/>
  <c r="S10" i="2"/>
  <c r="Q10" i="2"/>
  <c r="Q9" i="2"/>
  <c r="Q6" i="2"/>
  <c r="Q5" i="2"/>
  <c r="X5" i="2" s="1"/>
  <c r="Q7" i="2"/>
  <c r="Q8" i="2"/>
  <c r="T5" i="2"/>
  <c r="T10" i="2"/>
  <c r="T9" i="2"/>
  <c r="T8" i="2"/>
  <c r="X8" i="2" s="1"/>
  <c r="T7" i="2"/>
  <c r="S6" i="2"/>
  <c r="S5" i="2"/>
  <c r="S9" i="2"/>
  <c r="S8" i="2"/>
  <c r="S7" i="2"/>
  <c r="X7" i="2" s="1"/>
  <c r="R6" i="2"/>
  <c r="X6" i="2" s="1"/>
  <c r="R10" i="2"/>
  <c r="R8" i="2"/>
  <c r="R5" i="2"/>
  <c r="R9" i="2"/>
  <c r="AY3" i="2"/>
  <c r="AK7" i="2" l="1"/>
  <c r="AP7" i="2" s="1"/>
  <c r="AL10" i="2"/>
  <c r="AD5" i="2"/>
  <c r="AK5" i="2"/>
  <c r="AD7" i="2"/>
  <c r="AN8" i="2"/>
  <c r="AI9" i="2"/>
  <c r="AD6" i="2"/>
  <c r="AN6" i="2"/>
  <c r="AN9" i="2"/>
  <c r="AI8" i="2"/>
  <c r="AB8" i="2"/>
  <c r="AA6" i="2"/>
  <c r="AG6" i="2" s="1"/>
  <c r="AB7" i="2"/>
  <c r="AG7" i="2" s="1"/>
  <c r="AD9" i="2"/>
  <c r="AG9" i="2" s="1"/>
  <c r="AN10" i="2"/>
  <c r="AP10" i="2" s="1"/>
  <c r="AB9" i="2"/>
  <c r="AA5" i="2"/>
  <c r="AB6" i="2"/>
  <c r="AA7" i="2"/>
  <c r="AA9" i="2"/>
  <c r="AI7" i="2"/>
  <c r="AI6" i="2"/>
  <c r="AL9" i="2"/>
  <c r="AA10" i="2"/>
  <c r="AK10" i="2"/>
  <c r="AL8" i="2"/>
  <c r="AP8" i="2" s="1"/>
  <c r="AN5" i="2"/>
  <c r="AK6" i="2"/>
  <c r="AK9" i="2"/>
  <c r="AD8" i="2"/>
  <c r="AM10" i="2"/>
  <c r="AM6" i="2"/>
  <c r="AM8" i="2"/>
  <c r="AM7" i="2"/>
  <c r="AM9" i="2"/>
  <c r="AP9" i="2" s="1"/>
  <c r="AP3" i="2"/>
  <c r="AG3" i="2"/>
  <c r="X3" i="2"/>
</calcChain>
</file>

<file path=xl/sharedStrings.xml><?xml version="1.0" encoding="utf-8"?>
<sst xmlns="http://schemas.openxmlformats.org/spreadsheetml/2006/main" count="1092" uniqueCount="383">
  <si>
    <t>Courting</t>
  </si>
  <si>
    <t>Cultural Artifact</t>
  </si>
  <si>
    <t>Imperial Memorabilia</t>
  </si>
  <si>
    <t>Luxury</t>
  </si>
  <si>
    <t>Military Gear</t>
  </si>
  <si>
    <t>Republic Memorabilia</t>
  </si>
  <si>
    <t>Technology</t>
  </si>
  <si>
    <t>Trophy</t>
  </si>
  <si>
    <t>Underworld Good</t>
  </si>
  <si>
    <t>Weapon</t>
  </si>
  <si>
    <t>-</t>
  </si>
  <si>
    <t>Aric Jorgan</t>
  </si>
  <si>
    <t>Elara Dorne</t>
  </si>
  <si>
    <t>M1-4X</t>
  </si>
  <si>
    <t>Tanno Vik</t>
  </si>
  <si>
    <t>Yuun</t>
  </si>
  <si>
    <t>Soldat</t>
  </si>
  <si>
    <t>Inquisiteur Sith</t>
  </si>
  <si>
    <t>Khem Val</t>
  </si>
  <si>
    <t>Mâle</t>
  </si>
  <si>
    <t>Femelle</t>
  </si>
  <si>
    <t>Andronikos Revel</t>
  </si>
  <si>
    <t>Ashara Zavros</t>
  </si>
  <si>
    <t>Talos Drelik</t>
  </si>
  <si>
    <t>Xalek</t>
  </si>
  <si>
    <t>Jedi Consulaire</t>
  </si>
  <si>
    <t>Lieutenant Iresso</t>
  </si>
  <si>
    <t>Nadia Grell</t>
  </si>
  <si>
    <t>Qyzen Fess</t>
  </si>
  <si>
    <t>Tharan Cedrax</t>
  </si>
  <si>
    <t>Zenith</t>
  </si>
  <si>
    <t>Planete</t>
  </si>
  <si>
    <t>X</t>
  </si>
  <si>
    <t>Y</t>
  </si>
  <si>
    <t>Liens</t>
  </si>
  <si>
    <t>Alderaan</t>
  </si>
  <si>
    <t>Visée</t>
  </si>
  <si>
    <t>+4</t>
  </si>
  <si>
    <t xml:space="preserve"> 1107</t>
  </si>
  <si>
    <t xml:space="preserve"> 80</t>
  </si>
  <si>
    <t>http://www.swtor-spy.com/datacrons/alderaan/327/#Alderaan_datacron_Aim4</t>
  </si>
  <si>
    <t>Présence</t>
  </si>
  <si>
    <t>+3</t>
  </si>
  <si>
    <t xml:space="preserve"> -82</t>
  </si>
  <si>
    <t xml:space="preserve"> -268</t>
  </si>
  <si>
    <t>http://www.swtor-spy.com/datacrons/alderaan/327/#Alderaan_datacron_Presence3</t>
  </si>
  <si>
    <t>Volonté</t>
  </si>
  <si>
    <t xml:space="preserve"> -2508</t>
  </si>
  <si>
    <t xml:space="preserve"> -427</t>
  </si>
  <si>
    <t>http://www.swtor-spy.com/datacrons/alderaan/327/#Alderaan_datacron_Willpower3</t>
  </si>
  <si>
    <t xml:space="preserve"> 2190</t>
  </si>
  <si>
    <t xml:space="preserve"> -2019</t>
  </si>
  <si>
    <t>http://www.swtor-spy.com/datacrons/alderaan/327/#Alderaan_datacron_Strength4</t>
  </si>
  <si>
    <t>Endurance</t>
  </si>
  <si>
    <t xml:space="preserve"> 2721</t>
  </si>
  <si>
    <t xml:space="preserve"> 2496</t>
  </si>
  <si>
    <t>http://www.swtor-spy.com/datacrons/alderaan/327/#Alderaan_datacron_Endurance3</t>
  </si>
  <si>
    <t>Balmorra</t>
  </si>
  <si>
    <t>+2</t>
  </si>
  <si>
    <t xml:space="preserve"> 727</t>
  </si>
  <si>
    <t xml:space="preserve"> 2033</t>
  </si>
  <si>
    <t>http://www.swtor-spy.com/datacrons/balmorra-empire/193/#Balmorra%20%28Empire%29_datacron_Strength2</t>
  </si>
  <si>
    <t xml:space="preserve"> -1017</t>
  </si>
  <si>
    <t xml:space="preserve"> 1514</t>
  </si>
  <si>
    <t>http://www.swtor-spy.com/datacrons/balmorra-empire/193/#Balmorra%20%28Empire%29_datacron_Aim2</t>
  </si>
  <si>
    <t xml:space="preserve"> 191</t>
  </si>
  <si>
    <t xml:space="preserve"> -346</t>
  </si>
  <si>
    <t>http://www.swtor-spy.com/datacrons/balmorra-empire/193/#Balmorra%20%28Empire%29_datacron_Willpower2</t>
  </si>
  <si>
    <t xml:space="preserve"> 1853</t>
  </si>
  <si>
    <t xml:space="preserve"> 111</t>
  </si>
  <si>
    <t>Green Matrix Shard</t>
  </si>
  <si>
    <t/>
  </si>
  <si>
    <t xml:space="preserve"> -505</t>
  </si>
  <si>
    <t xml:space="preserve"> 1990</t>
  </si>
  <si>
    <t>http://www.swtor-spy.com/datacrons/balmorra-empire/193/#Balmorra%20%28Empire%29_datacron_GreenMatrixShard</t>
  </si>
  <si>
    <t>http://www.swtor-spy.com/datacrons/balmorra-republic/332/#Balmorra%20%28Republic%29_datacron_Aim4</t>
  </si>
  <si>
    <t xml:space="preserve"> 730</t>
  </si>
  <si>
    <t xml:space="preserve"> 2030</t>
  </si>
  <si>
    <t>http://www.swtor-spy.com/datacrons/balmorra-republic/332/#Balmorra%20%28Republic%29_datacron_Presence4</t>
  </si>
  <si>
    <t xml:space="preserve"> -485</t>
  </si>
  <si>
    <t xml:space="preserve"> -233</t>
  </si>
  <si>
    <t>http://www.swtor-spy.com/datacrons/balmorra-republic/332/#Balmorra%20%28Republic%29_datacron_Endurance3</t>
  </si>
  <si>
    <t xml:space="preserve"> -779</t>
  </si>
  <si>
    <t xml:space="preserve"> 2069</t>
  </si>
  <si>
    <t>http://www.swtor-spy.com/datacrons/balmorra-republic/332/#Balmorra%20%28Republic%29_datacron_Willpower4</t>
  </si>
  <si>
    <t>Belsavis</t>
  </si>
  <si>
    <t xml:space="preserve"> -501</t>
  </si>
  <si>
    <t xml:space="preserve"> 768</t>
  </si>
  <si>
    <t>http://www.swtor-spy.com/datacrons/belsavis/643/#Belsavis_datacron_Willpower4</t>
  </si>
  <si>
    <t xml:space="preserve"> -992</t>
  </si>
  <si>
    <t xml:space="preserve"> -450</t>
  </si>
  <si>
    <t>http://www.swtor-spy.com/datacrons/belsavis/643/#Belsavis_datacron_Endurance4</t>
  </si>
  <si>
    <t xml:space="preserve"> -1915</t>
  </si>
  <si>
    <t xml:space="preserve"> -476</t>
  </si>
  <si>
    <t>http://www.swtor-spy.com/datacrons/belsavis/643/#Belsavis_datacron_Presence4</t>
  </si>
  <si>
    <t xml:space="preserve"> -785</t>
  </si>
  <si>
    <t xml:space="preserve"> -1930</t>
  </si>
  <si>
    <t>http://www.swtor-spy.com/datacrons/belsavis/643/#Belsavis_datacron_Aim4</t>
  </si>
  <si>
    <t xml:space="preserve"> -315</t>
  </si>
  <si>
    <t xml:space="preserve"> -2172</t>
  </si>
  <si>
    <t>http://www.swtor-spy.com/datacrons/belsavis/643/#Belsavis_datacron_GreenMatrixShard</t>
  </si>
  <si>
    <t>Corellia</t>
  </si>
  <si>
    <t xml:space="preserve"> -2755</t>
  </si>
  <si>
    <t xml:space="preserve"> -2005</t>
  </si>
  <si>
    <t>http://www.swtor-spy.com/datacrons/corellia/970/#Corellia_datacron_Strength4</t>
  </si>
  <si>
    <t xml:space="preserve"> 703</t>
  </si>
  <si>
    <t xml:space="preserve"> 1717</t>
  </si>
  <si>
    <t>http://www.swtor-spy.com/datacrons/corellia/970/#Corellia_datacron_REPUBLICWillpower4</t>
  </si>
  <si>
    <t>Blue Matrix Shard</t>
  </si>
  <si>
    <t xml:space="preserve"> -2425</t>
  </si>
  <si>
    <t xml:space="preserve"> -1063</t>
  </si>
  <si>
    <t>http://www.swtor-spy.com/datacrons/corellia/970/#Corellia_datacron_BlueMatrixShard</t>
  </si>
  <si>
    <t xml:space="preserve"> 3425</t>
  </si>
  <si>
    <t xml:space="preserve"> -3209</t>
  </si>
  <si>
    <t>http://www.swtor-spy.com/datacrons/corellia/970/#Corellia_datacron_Presence4</t>
  </si>
  <si>
    <t xml:space="preserve"> 3140</t>
  </si>
  <si>
    <t xml:space="preserve"> -1790</t>
  </si>
  <si>
    <t>http://www.swtor-spy.com/datacrons/corellia/970/#Corellia_datacron_Aim4</t>
  </si>
  <si>
    <t xml:space="preserve"> -2658</t>
  </si>
  <si>
    <t xml:space="preserve"> -3114</t>
  </si>
  <si>
    <t xml:space="preserve"> 702</t>
  </si>
  <si>
    <t xml:space="preserve"> -1884</t>
  </si>
  <si>
    <t>http://www.swtor-spy.com/datacrons/corellia/970/#Corellia_datacron_GreenMatrixShard</t>
  </si>
  <si>
    <t xml:space="preserve"> -2404</t>
  </si>
  <si>
    <t xml:space="preserve"> 2948</t>
  </si>
  <si>
    <t>http://www.swtor-spy.com/datacrons/corellia/970/#Corellia_datacron_EMPIREWillpower4</t>
  </si>
  <si>
    <t>Coruscant</t>
  </si>
  <si>
    <t xml:space="preserve"> 2320</t>
  </si>
  <si>
    <t xml:space="preserve"> 1055</t>
  </si>
  <si>
    <t>http://www.swtor-spy.com/datacrons/coruscant/41/#Coruscant_datacron_Presence2</t>
  </si>
  <si>
    <t>Yellow Matrix Shard</t>
  </si>
  <si>
    <t xml:space="preserve"> 905</t>
  </si>
  <si>
    <t xml:space="preserve"> 4557</t>
  </si>
  <si>
    <t>http://www.swtor-spy.com/datacrons/coruscant/41/#Coruscant_datacron_YellowMatrixShard</t>
  </si>
  <si>
    <t xml:space="preserve"> -3087</t>
  </si>
  <si>
    <t xml:space="preserve"> 3030</t>
  </si>
  <si>
    <t>http://www.swtor-spy.com/datacrons/coruscant/41/#Coruscant_datacron_Strength2</t>
  </si>
  <si>
    <t xml:space="preserve"> -3729</t>
  </si>
  <si>
    <t xml:space="preserve"> 161</t>
  </si>
  <si>
    <t>http://www.swtor-spy.com/datacrons/coruscant/41/#Coruscant_datacron_Endurance2</t>
  </si>
  <si>
    <t xml:space="preserve"> 1021</t>
  </si>
  <si>
    <t xml:space="preserve"> 3967</t>
  </si>
  <si>
    <t>Dromund Kaas</t>
  </si>
  <si>
    <t xml:space="preserve"> 855</t>
  </si>
  <si>
    <t xml:space="preserve"> 643</t>
  </si>
  <si>
    <t>http://www.swtor-spy.com/datacrons/dromund-kaas/115/#Dromund%20Kaas_datacron_Strength2</t>
  </si>
  <si>
    <t xml:space="preserve"> 581</t>
  </si>
  <si>
    <t xml:space="preserve"> 798</t>
  </si>
  <si>
    <t>http://www.swtor-spy.com/datacrons/dromund-kaas/115/#Dromund%20Kaas_datacron_Presence2</t>
  </si>
  <si>
    <t xml:space="preserve"> -1219</t>
  </si>
  <si>
    <t xml:space="preserve"> 209</t>
  </si>
  <si>
    <t xml:space="preserve"> -187</t>
  </si>
  <si>
    <t xml:space="preserve"> 1738</t>
  </si>
  <si>
    <t>http://www.swtor-spy.com/datacrons/dromund-kaas/115/#Dromund%20Kaas_datacron_YellowMatrixShard</t>
  </si>
  <si>
    <t xml:space="preserve"> -793</t>
  </si>
  <si>
    <t xml:space="preserve"> 1450</t>
  </si>
  <si>
    <t>http://www.swtor-spy.com/datacrons/dromund-kaas/115/#Dromund%20Kaas_datacron_Endurance2</t>
  </si>
  <si>
    <t>Hoth</t>
  </si>
  <si>
    <t xml:space="preserve"> 1039</t>
  </si>
  <si>
    <t xml:space="preserve"> -1243</t>
  </si>
  <si>
    <t>http://www.swtor-spy.com/datacrons/hoth-2/802/#Hoth_datacron_Presence4</t>
  </si>
  <si>
    <t>Red Matrix Shard</t>
  </si>
  <si>
    <t xml:space="preserve"> -738</t>
  </si>
  <si>
    <t xml:space="preserve"> 1705</t>
  </si>
  <si>
    <t>http://www.swtor-spy.com/datacrons/hoth-2/802/#Hoth_datacron_RedMatrixShard</t>
  </si>
  <si>
    <t xml:space="preserve"> 2837</t>
  </si>
  <si>
    <t xml:space="preserve"> -375</t>
  </si>
  <si>
    <t>http://www.swtor-spy.com/datacrons/hoth-2/802/#Hoth_datacron_Endurance4</t>
  </si>
  <si>
    <t xml:space="preserve"> 3144</t>
  </si>
  <si>
    <t xml:space="preserve"> 475</t>
  </si>
  <si>
    <t xml:space="preserve"> -4102</t>
  </si>
  <si>
    <t xml:space="preserve"> 115</t>
  </si>
  <si>
    <t>http://www.swtor-spy.com/datacrons/hoth-2/802/#Hoth_datacron_Strength4</t>
  </si>
  <si>
    <t>Hutta</t>
  </si>
  <si>
    <t xml:space="preserve"> -96</t>
  </si>
  <si>
    <t xml:space="preserve"> 861</t>
  </si>
  <si>
    <t>http://www.swtor-spy.com/datacrons/hutta/9/#Hutta_datacron_Aim2</t>
  </si>
  <si>
    <t xml:space="preserve"> -9</t>
  </si>
  <si>
    <t xml:space="preserve"> 319</t>
  </si>
  <si>
    <t>http://www.swtor-spy.com/datacrons/hutta/9/#Hutta_datacron_BlueMatrixShard</t>
  </si>
  <si>
    <t xml:space="preserve"> 648</t>
  </si>
  <si>
    <t xml:space="preserve"> -107</t>
  </si>
  <si>
    <t>http://www.swtor-spy.com/datacrons/hutta/9/#Hutta_datacron_Presence2</t>
  </si>
  <si>
    <t>Ilum</t>
  </si>
  <si>
    <t xml:space="preserve"> 920</t>
  </si>
  <si>
    <t xml:space="preserve"> 1075</t>
  </si>
  <si>
    <t>http://www.swtor-spy.com/datacrons/ilum-2/1633/#Ilum_datacron_Aim4</t>
  </si>
  <si>
    <t xml:space="preserve"> -80</t>
  </si>
  <si>
    <t>http://www.swtor-spy.com/datacrons/ilum-2/1633/#Ilum_datacron_Endurance4</t>
  </si>
  <si>
    <t xml:space="preserve"> 543</t>
  </si>
  <si>
    <t xml:space="preserve"> 544</t>
  </si>
  <si>
    <t>http://www.swtor-spy.com/datacrons/ilum-2/1633/#Ilum_datacron_RedMatrixShard</t>
  </si>
  <si>
    <t xml:space="preserve"> 304</t>
  </si>
  <si>
    <t xml:space="preserve"> -1568</t>
  </si>
  <si>
    <t>http://www.swtor-spy.com/datacrons/ilum-2/1633/#Ilum_datacron_Willpower4</t>
  </si>
  <si>
    <t xml:space="preserve"> 311</t>
  </si>
  <si>
    <t xml:space="preserve"> -377</t>
  </si>
  <si>
    <t>http://www.swtor-spy.com/datacrons/ilum-2/1633/#Ilum_datacron_YellowMatrixShard</t>
  </si>
  <si>
    <t>Korriban</t>
  </si>
  <si>
    <t xml:space="preserve"> 529</t>
  </si>
  <si>
    <t xml:space="preserve"> 65</t>
  </si>
  <si>
    <t>http://www.swtor-spy.com/datacrons/korriban/7/#Korriban_datacron_Willpower2</t>
  </si>
  <si>
    <t xml:space="preserve"> 150</t>
  </si>
  <si>
    <t xml:space="preserve"> 78</t>
  </si>
  <si>
    <t>http://www.swtor-spy.com/datacrons/korriban/7/#Korriban_datacron_Endurance2</t>
  </si>
  <si>
    <t xml:space="preserve"> -55</t>
  </si>
  <si>
    <t xml:space="preserve"> 379</t>
  </si>
  <si>
    <t>http://www.swtor-spy.com/datacrons/korriban/7/#Korriban_datacron_RedMatrixShard</t>
  </si>
  <si>
    <t>Nar Shaddaa</t>
  </si>
  <si>
    <t xml:space="preserve"> -3362</t>
  </si>
  <si>
    <t xml:space="preserve"> -3316</t>
  </si>
  <si>
    <t>http://www.swtor-spy.com/datacrons/nar-shaddaa/94/#Nar%20Shaddaa_datacron_RepublicAim3</t>
  </si>
  <si>
    <t xml:space="preserve"> 3338</t>
  </si>
  <si>
    <t xml:space="preserve"> -3287</t>
  </si>
  <si>
    <t>http://www.swtor-spy.com/datacrons/nar-shaddaa/94/#Nar%20Shaddaa_datacron_RepublicPresence3</t>
  </si>
  <si>
    <t xml:space="preserve"> 1958</t>
  </si>
  <si>
    <t xml:space="preserve"> 3288</t>
  </si>
  <si>
    <t xml:space="preserve"> 2156</t>
  </si>
  <si>
    <t xml:space="preserve"> 3103</t>
  </si>
  <si>
    <t>http://www.swtor-spy.com/datacrons/nar-shaddaa/94/#Nar%20Shaddaa_datacron_RepublicStrength3</t>
  </si>
  <si>
    <t xml:space="preserve"> 1781</t>
  </si>
  <si>
    <t xml:space="preserve"> 3084</t>
  </si>
  <si>
    <t>http://www.swtor-spy.com/datacrons/nar-shaddaa/94/#Nar%20Shaddaa_datacron_YellowMatrixShard</t>
  </si>
  <si>
    <t xml:space="preserve"> -3699</t>
  </si>
  <si>
    <t xml:space="preserve"> -1692</t>
  </si>
  <si>
    <t>http://www.swtor-spy.com/datacrons/nar-shaddaa/94/#Nar%20Shaddaa_datacron_EmpireAim3</t>
  </si>
  <si>
    <t xml:space="preserve"> 2930</t>
  </si>
  <si>
    <t xml:space="preserve"> 400</t>
  </si>
  <si>
    <t>http://www.swtor-spy.com/datacrons/nar-shaddaa/94/#Nar%20Shaddaa_datacron_EmpirePresence3</t>
  </si>
  <si>
    <t xml:space="preserve"> 2017</t>
  </si>
  <si>
    <t xml:space="preserve"> 2441</t>
  </si>
  <si>
    <t>http://www.swtor-spy.com/datacrons/nar-shaddaa/94/#Nar%20Shaddaa_datacron_EmpireStrength3</t>
  </si>
  <si>
    <t>Ord Mantell</t>
  </si>
  <si>
    <t xml:space="preserve"> 778</t>
  </si>
  <si>
    <t xml:space="preserve"> 133</t>
  </si>
  <si>
    <t>http://www.swtor-spy.com/datacrons/ord-mantell/8/#Ord%20Mantell_datacron_RedMatrixShard</t>
  </si>
  <si>
    <t xml:space="preserve"> -971</t>
  </si>
  <si>
    <t xml:space="preserve"> 201</t>
  </si>
  <si>
    <t>http://www.swtor-spy.com/datacrons/ord-mantell/8/#Ord%20Mantell_datacron_Presence2</t>
  </si>
  <si>
    <t xml:space="preserve"> -660</t>
  </si>
  <si>
    <t xml:space="preserve"> -561</t>
  </si>
  <si>
    <t>http://www.swtor-spy.com/datacrons/ord-mantell/8/#Ord%20Mantell_datacron_Aim2</t>
  </si>
  <si>
    <t>Quesh</t>
  </si>
  <si>
    <t xml:space="preserve"> 425</t>
  </si>
  <si>
    <t xml:space="preserve"> -132</t>
  </si>
  <si>
    <t xml:space="preserve"> 207</t>
  </si>
  <si>
    <t xml:space="preserve"> 773</t>
  </si>
  <si>
    <t>http://www.swtor-spy.com/datacrons/quesh/906/#Quesh_datacron_Endurance4</t>
  </si>
  <si>
    <t xml:space="preserve"> 557</t>
  </si>
  <si>
    <t xml:space="preserve"> 1422</t>
  </si>
  <si>
    <t>http://www.swtor-spy.com/datacrons/quesh/906/#Quesh_datacron_Strength4</t>
  </si>
  <si>
    <t>Republic Fleet</t>
  </si>
  <si>
    <t>Stats</t>
  </si>
  <si>
    <t>+10</t>
  </si>
  <si>
    <t xml:space="preserve"> 0</t>
  </si>
  <si>
    <t>http://www.swtor-spy.com/datacrons/republic-fleet/2014/#Republic%20Fleet_datacron_Stats10</t>
  </si>
  <si>
    <t>Taris</t>
  </si>
  <si>
    <t xml:space="preserve">+2 </t>
  </si>
  <si>
    <t xml:space="preserve"> 1187</t>
  </si>
  <si>
    <t xml:space="preserve"> -571</t>
  </si>
  <si>
    <t>http://www.swtor-spy.com/datacrons/taris/69/#Taris_datacron_REPUBLICStrength2orEMPIREPresence4</t>
  </si>
  <si>
    <t xml:space="preserve"> -1515</t>
  </si>
  <si>
    <t xml:space="preserve"> -253</t>
  </si>
  <si>
    <t>http://www.swtor-spy.com/datacrons/taris/69/#Taris_datacron_REPUBLICAim2orEMPIREEndurance3</t>
  </si>
  <si>
    <t>+ 4</t>
  </si>
  <si>
    <t xml:space="preserve"> 1047</t>
  </si>
  <si>
    <t xml:space="preserve"> 454</t>
  </si>
  <si>
    <t>+ 2</t>
  </si>
  <si>
    <t xml:space="preserve"> -362</t>
  </si>
  <si>
    <t xml:space="preserve"> -227</t>
  </si>
  <si>
    <t>http://www.swtor-spy.com/datacrons/taris/69/#Taris_datacron_REPUBLICWillpower2</t>
  </si>
  <si>
    <t xml:space="preserve"> 1059</t>
  </si>
  <si>
    <t>http://www.swtor-spy.com/datacrons/taris/69/#Taris_datacron_REPUBLICGreenMatrixShard</t>
  </si>
  <si>
    <t xml:space="preserve"> 444</t>
  </si>
  <si>
    <t xml:space="preserve"> -772</t>
  </si>
  <si>
    <t>http://www.swtor-spy.com/datacrons/taris/69/#Taris_datacron_EMPIREWillpower4</t>
  </si>
  <si>
    <t xml:space="preserve"> -643</t>
  </si>
  <si>
    <t xml:space="preserve"> 1606</t>
  </si>
  <si>
    <t>Tatooine</t>
  </si>
  <si>
    <t xml:space="preserve"> 2140</t>
  </si>
  <si>
    <t xml:space="preserve"> -3671</t>
  </si>
  <si>
    <t xml:space="preserve"> 2115</t>
  </si>
  <si>
    <t xml:space="preserve"> -596</t>
  </si>
  <si>
    <t>http://www.swtor-spy.com/datacrons/tatooine/139/#Tatooine_datacron_Willpower3</t>
  </si>
  <si>
    <t xml:space="preserve"> -628</t>
  </si>
  <si>
    <t xml:space="preserve"> -30</t>
  </si>
  <si>
    <t>http://www.swtor-spy.com/datacrons/tatooine/139/#Tatooine_datacron_Aim3</t>
  </si>
  <si>
    <t xml:space="preserve"> -2391</t>
  </si>
  <si>
    <t xml:space="preserve"> -1381</t>
  </si>
  <si>
    <t>http://www.swtor-spy.com/datacrons/tatooine/139/#Tatooine_datacron_BlueMatrixShard</t>
  </si>
  <si>
    <t>http://www.swtor-spy.com/datacrons/tatooine/139/#Tatooine_datacron_Strength3</t>
  </si>
  <si>
    <t xml:space="preserve"> 726</t>
  </si>
  <si>
    <t xml:space="preserve"> 3137</t>
  </si>
  <si>
    <t>Tython</t>
  </si>
  <si>
    <t xml:space="preserve"> -33</t>
  </si>
  <si>
    <t xml:space="preserve"> -102</t>
  </si>
  <si>
    <t>http://www.swtor-spy.com/datacrons/tython/31/#Tython_datacron_Endurance2</t>
  </si>
  <si>
    <t xml:space="preserve"> -648</t>
  </si>
  <si>
    <t xml:space="preserve"> -72</t>
  </si>
  <si>
    <t>http://www.swtor-spy.com/datacrons/tython/31/#Tython_datacron_Willpower2</t>
  </si>
  <si>
    <t xml:space="preserve"> -93</t>
  </si>
  <si>
    <t xml:space="preserve"> 922</t>
  </si>
  <si>
    <t>http://www.swtor-spy.com/datacrons/tython/31/#Tython_datacron_BlueMatrixShard</t>
  </si>
  <si>
    <t>Voss</t>
  </si>
  <si>
    <t xml:space="preserve"> -29</t>
  </si>
  <si>
    <t xml:space="preserve"> 372</t>
  </si>
  <si>
    <t>http://www.swtor-spy.com/datacrons/voss/858/#Voss_datacron_Willpower4</t>
  </si>
  <si>
    <t xml:space="preserve"> 2144</t>
  </si>
  <si>
    <t xml:space="preserve"> -840</t>
  </si>
  <si>
    <t>http://www.swtor-spy.com/datacrons/voss/858/#Voss_datacron_Presence4</t>
  </si>
  <si>
    <t xml:space="preserve"> -1950</t>
  </si>
  <si>
    <t xml:space="preserve"> -2220</t>
  </si>
  <si>
    <t>http://www.swtor-spy.com/datacrons/voss/858/#Voss_datacron_Endurance4</t>
  </si>
  <si>
    <t xml:space="preserve"> 655</t>
  </si>
  <si>
    <t xml:space="preserve"> 2049</t>
  </si>
  <si>
    <t>http://www.swtor-spy.com/datacrons/voss/858/#Voss_datacron_Strength4</t>
  </si>
  <si>
    <t xml:space="preserve"> 515</t>
  </si>
  <si>
    <t xml:space="preserve"> 175</t>
  </si>
  <si>
    <t>Gain Republique</t>
  </si>
  <si>
    <t>Gain EMPIRE</t>
  </si>
  <si>
    <t>Détails</t>
  </si>
  <si>
    <t>Nostroplux</t>
  </si>
  <si>
    <t>Kianti</t>
  </si>
  <si>
    <t>Vaxott</t>
  </si>
  <si>
    <t>République</t>
  </si>
  <si>
    <t>Empire</t>
  </si>
  <si>
    <t>x</t>
  </si>
  <si>
    <t>N° Codex République</t>
  </si>
  <si>
    <t>N° Codex Empire</t>
  </si>
  <si>
    <t>Vigueur</t>
  </si>
  <si>
    <t>Astuce</t>
  </si>
  <si>
    <t>http://www.swtor-spy.com/datacrons/balmorra-empire/193/#Balmorra%20%28Empire%29_datacron_Astuce2</t>
  </si>
  <si>
    <t>http://www.swtor-spy.com/datacrons/balmorra-republic/332/#Balmorra%20%28Republic%29_datacron_Astuce4</t>
  </si>
  <si>
    <t>http://www.swtor-spy.com/datacrons/corellia/970/#Corellia_datacron_Astuce4</t>
  </si>
  <si>
    <t>http://www.swtor-spy.com/datacrons/coruscant/41/#Coruscant_datacron_Astuce2</t>
  </si>
  <si>
    <t>http://www.swtor-spy.com/datacrons/dromund-kaas/115/#Dromund%20Kaas_datacron_Astuce2</t>
  </si>
  <si>
    <t>http://www.swtor-spy.com/datacrons/hoth-2/802/#Hoth_datacron_Astuce4</t>
  </si>
  <si>
    <t>http://www.swtor-spy.com/datacrons/nar-shaddaa/94/#Nar%20Shaddaa_datacron_Astuce3</t>
  </si>
  <si>
    <t>http://www.swtor-spy.com/datacrons/quesh/906/#Quesh_datacron_Astuce4</t>
  </si>
  <si>
    <t>http://www.swtor-spy.com/datacrons/taris/69/#Taris_datacron_REPUBLICAstuce2orEMPIREAim4</t>
  </si>
  <si>
    <t>http://www.swtor-spy.com/datacrons/taris/69/#Taris_datacron_EMPIREAstuce4</t>
  </si>
  <si>
    <t>http://www.swtor-spy.com/datacrons/tatooine/139/#Tatooine_datacron_RepublicAstuce3</t>
  </si>
  <si>
    <t>http://www.swtor-spy.com/datacrons/tatooine/139/#Tatooine_datacron_EmpireAstuce3</t>
  </si>
  <si>
    <t>http://www.swtor-spy.com/datacrons/voss/858/#Voss_datacron_Astuce4</t>
  </si>
  <si>
    <t>Equipement magnétique à avoir !</t>
  </si>
  <si>
    <t>d</t>
  </si>
  <si>
    <t>dzzzzzz</t>
  </si>
  <si>
    <t>Chiant il faut looter des cubes avant ! Long</t>
  </si>
  <si>
    <t>qq</t>
  </si>
  <si>
    <t>Chaud Chaud the probe lvl47</t>
  </si>
  <si>
    <t>Gros gabarits exclus !!!</t>
  </si>
  <si>
    <t>Compétences spé</t>
  </si>
  <si>
    <t>Cybernétique</t>
  </si>
  <si>
    <t>Piratage</t>
  </si>
  <si>
    <t>Bioanalyse</t>
  </si>
  <si>
    <t>Archéologie</t>
  </si>
  <si>
    <t>ShozHamee</t>
  </si>
  <si>
    <t>Les Architectes</t>
  </si>
  <si>
    <t>Nom : Les Architectes</t>
  </si>
  <si>
    <t>Les civilisations anciennes</t>
  </si>
  <si>
    <t>La naissance des mandaloriens</t>
  </si>
  <si>
    <t>Les cataclysmes Hutts</t>
  </si>
  <si>
    <t>Le chancelier Blotus</t>
  </si>
  <si>
    <t>Chasseur de Prime</t>
  </si>
  <si>
    <t>Mako</t>
  </si>
  <si>
    <t>Le deuxieme grand chisme</t>
  </si>
  <si>
    <t>Les croisades du Pius Dea</t>
  </si>
  <si>
    <t>La guerre de Quarren</t>
  </si>
  <si>
    <t>Datacrons</t>
  </si>
  <si>
    <t>Titre</t>
  </si>
  <si>
    <t>Le rituel de Nathema</t>
  </si>
  <si>
    <t>Blizz</t>
  </si>
  <si>
    <t>Gault</t>
  </si>
  <si>
    <t>skadge</t>
  </si>
  <si>
    <t>La bataille de Primus Goluud</t>
  </si>
  <si>
    <t>Torian Cadera</t>
  </si>
  <si>
    <t>Male</t>
  </si>
  <si>
    <t>Chasse au trésor</t>
  </si>
  <si>
    <t>Artifice</t>
  </si>
  <si>
    <t>Investigation</t>
  </si>
  <si>
    <t>Synthétisage</t>
  </si>
  <si>
    <t>Diplomatie</t>
  </si>
  <si>
    <t>Commerce illégal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</si>
</sst>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Inherit"/>
    </font>
    <font>
      <sz val="10"/>
      <name val="Inherit"/>
    </font>
    <font>
      <b/>
      <sz val="18"/>
      <color theme="3"/>
      <name val="Cambria"/>
      <family val="2"/>
      <scheme val="major"/>
    </font>
    <font>
      <u/>
      <sz val="11"/>
      <color theme="10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1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B2B2B2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4" tint="0.3999755851924192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1" fillId="2" borderId="2" applyNumberFormat="0" applyFont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0" fillId="4" borderId="15" applyNumberFormat="0" applyAlignment="0" applyProtection="0"/>
    <xf numFmtId="0" fontId="11" fillId="5" borderId="15" applyNumberFormat="0" applyAlignment="0" applyProtection="0"/>
  </cellStyleXfs>
  <cellXfs count="69">
    <xf numFmtId="0" fontId="0" fillId="0" borderId="0" xfId="0"/>
    <xf numFmtId="0" fontId="6" fillId="2" borderId="5" xfId="3" quotePrefix="1" applyFont="1" applyBorder="1" applyAlignment="1">
      <alignment horizontal="center" vertical="center" wrapText="1"/>
    </xf>
    <xf numFmtId="0" fontId="0" fillId="2" borderId="6" xfId="3" quotePrefix="1" applyFont="1" applyBorder="1" applyAlignment="1">
      <alignment horizontal="center" vertical="center"/>
    </xf>
    <xf numFmtId="0" fontId="0" fillId="2" borderId="6" xfId="3" applyFont="1" applyBorder="1" applyAlignment="1">
      <alignment horizontal="center" vertical="center"/>
    </xf>
    <xf numFmtId="0" fontId="0" fillId="2" borderId="7" xfId="3" applyFont="1" applyBorder="1" applyAlignment="1">
      <alignment horizontal="center" vertical="center"/>
    </xf>
    <xf numFmtId="0" fontId="6" fillId="2" borderId="8" xfId="3" quotePrefix="1" applyFont="1" applyBorder="1" applyAlignment="1">
      <alignment horizontal="center" vertical="center" wrapText="1"/>
    </xf>
    <xf numFmtId="0" fontId="3" fillId="0" borderId="4" xfId="4" applyFill="1" applyBorder="1" applyAlignment="1">
      <alignment horizontal="center" vertical="center" wrapText="1"/>
    </xf>
    <xf numFmtId="0" fontId="3" fillId="0" borderId="10" xfId="4" applyFill="1" applyBorder="1" applyAlignment="1">
      <alignment horizontal="center" vertical="center" wrapText="1"/>
    </xf>
    <xf numFmtId="0" fontId="3" fillId="0" borderId="11" xfId="4" applyFill="1" applyBorder="1" applyAlignment="1">
      <alignment horizontal="center" vertical="center" wrapText="1"/>
    </xf>
    <xf numFmtId="0" fontId="6" fillId="2" borderId="3" xfId="3" quotePrefix="1" applyFont="1" applyBorder="1" applyAlignment="1">
      <alignment horizontal="center" vertical="center" wrapText="1"/>
    </xf>
    <xf numFmtId="0" fontId="0" fillId="2" borderId="3" xfId="3" quotePrefix="1" applyFont="1" applyBorder="1" applyAlignment="1">
      <alignment horizontal="center" vertical="center"/>
    </xf>
    <xf numFmtId="0" fontId="0" fillId="2" borderId="3" xfId="3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textRotation="90"/>
    </xf>
    <xf numFmtId="0" fontId="2" fillId="0" borderId="0" xfId="2" applyFill="1" applyBorder="1" applyAlignment="1">
      <alignment horizontal="center" vertical="center" textRotation="90"/>
    </xf>
    <xf numFmtId="0" fontId="2" fillId="0" borderId="0" xfId="2" applyAlignment="1">
      <alignment horizontal="center" vertical="center" textRotation="90"/>
    </xf>
    <xf numFmtId="0" fontId="4" fillId="0" borderId="0" xfId="0" applyFont="1" applyAlignment="1">
      <alignment textRotation="90"/>
    </xf>
    <xf numFmtId="0" fontId="0" fillId="0" borderId="0" xfId="0" applyAlignment="1">
      <alignment horizontal="center"/>
    </xf>
    <xf numFmtId="0" fontId="8" fillId="0" borderId="0" xfId="6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12" xfId="1" applyFill="1" applyBorder="1" applyAlignment="1">
      <alignment horizontal="center"/>
    </xf>
    <xf numFmtId="0" fontId="2" fillId="0" borderId="10" xfId="1" applyFill="1" applyBorder="1" applyAlignment="1">
      <alignment horizontal="center"/>
    </xf>
    <xf numFmtId="0" fontId="2" fillId="0" borderId="1" xfId="1" applyAlignment="1">
      <alignment horizontal="center" textRotation="90"/>
    </xf>
    <xf numFmtId="0" fontId="7" fillId="0" borderId="0" xfId="5" applyAlignment="1">
      <alignment horizontal="center" vertical="center"/>
    </xf>
    <xf numFmtId="0" fontId="4" fillId="0" borderId="14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3" fillId="0" borderId="0" xfId="4" applyFill="1" applyBorder="1" applyAlignment="1">
      <alignment horizontal="center" vertical="center" wrapText="1"/>
    </xf>
    <xf numFmtId="0" fontId="9" fillId="0" borderId="0" xfId="4" applyFont="1" applyFill="1" applyBorder="1" applyAlignment="1">
      <alignment horizontal="center" vertical="center" wrapText="1"/>
    </xf>
    <xf numFmtId="0" fontId="7" fillId="0" borderId="0" xfId="5" applyAlignment="1">
      <alignment horizontal="center" vertical="center"/>
    </xf>
    <xf numFmtId="0" fontId="7" fillId="0" borderId="0" xfId="5" applyAlignment="1">
      <alignment horizontal="center" vertical="center"/>
    </xf>
    <xf numFmtId="0" fontId="0" fillId="0" borderId="0" xfId="0" applyBorder="1"/>
    <xf numFmtId="0" fontId="7" fillId="0" borderId="0" xfId="5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7" fillId="0" borderId="0" xfId="5" applyNumberFormat="1" applyAlignment="1">
      <alignment horizontal="center" vertical="center"/>
    </xf>
    <xf numFmtId="0" fontId="7" fillId="0" borderId="0" xfId="5" applyNumberFormat="1" applyBorder="1" applyAlignment="1">
      <alignment horizontal="center" vertical="center"/>
    </xf>
    <xf numFmtId="0" fontId="2" fillId="0" borderId="1" xfId="1" applyNumberFormat="1" applyAlignment="1">
      <alignment horizontal="center" textRotation="90"/>
    </xf>
    <xf numFmtId="0" fontId="0" fillId="0" borderId="0" xfId="0" applyNumberFormat="1"/>
    <xf numFmtId="0" fontId="7" fillId="0" borderId="16" xfId="5" applyBorder="1" applyAlignment="1"/>
    <xf numFmtId="0" fontId="10" fillId="4" borderId="15" xfId="7"/>
    <xf numFmtId="0" fontId="4" fillId="0" borderId="17" xfId="0" applyFont="1" applyBorder="1" applyAlignment="1">
      <alignment horizontal="center"/>
    </xf>
    <xf numFmtId="0" fontId="10" fillId="4" borderId="15" xfId="7" applyAlignment="1">
      <alignment horizontal="center"/>
    </xf>
    <xf numFmtId="0" fontId="7" fillId="0" borderId="0" xfId="5" applyBorder="1" applyAlignment="1"/>
    <xf numFmtId="0" fontId="3" fillId="0" borderId="0" xfId="4" applyAlignment="1">
      <alignment horizontal="center"/>
    </xf>
    <xf numFmtId="49" fontId="7" fillId="0" borderId="0" xfId="5" applyNumberFormat="1" applyAlignment="1">
      <alignment horizontal="center" vertical="center"/>
    </xf>
    <xf numFmtId="49" fontId="7" fillId="0" borderId="0" xfId="5" applyNumberFormat="1" applyBorder="1" applyAlignment="1">
      <alignment horizontal="center" vertical="center"/>
    </xf>
    <xf numFmtId="49" fontId="2" fillId="0" borderId="1" xfId="1" applyNumberFormat="1" applyAlignment="1">
      <alignment horizontal="center" textRotation="90"/>
    </xf>
    <xf numFmtId="49" fontId="0" fillId="0" borderId="0" xfId="0" applyNumberFormat="1"/>
    <xf numFmtId="49" fontId="7" fillId="0" borderId="0" xfId="5" applyNumberFormat="1" applyAlignment="1">
      <alignment horizontal="center" vertical="center" wrapText="1"/>
    </xf>
    <xf numFmtId="49" fontId="7" fillId="0" borderId="0" xfId="5" applyNumberForma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2" fillId="0" borderId="1" xfId="1" applyNumberFormat="1" applyAlignment="1">
      <alignment horizontal="center" textRotation="90" wrapText="1"/>
    </xf>
    <xf numFmtId="1" fontId="3" fillId="0" borderId="0" xfId="4" applyNumberFormat="1" applyAlignment="1">
      <alignment horizontal="center"/>
    </xf>
    <xf numFmtId="49" fontId="3" fillId="0" borderId="0" xfId="4" applyNumberFormat="1" applyAlignment="1">
      <alignment horizontal="center"/>
    </xf>
    <xf numFmtId="0" fontId="3" fillId="3" borderId="0" xfId="4" applyFill="1" applyAlignment="1">
      <alignment horizontal="center"/>
    </xf>
    <xf numFmtId="0" fontId="3" fillId="0" borderId="0" xfId="4"/>
    <xf numFmtId="49" fontId="3" fillId="2" borderId="2" xfId="3" applyNumberFormat="1" applyFont="1" applyAlignment="1">
      <alignment horizontal="center" vertical="center" wrapText="1"/>
    </xf>
    <xf numFmtId="0" fontId="3" fillId="2" borderId="2" xfId="3" applyFont="1" applyAlignment="1">
      <alignment horizontal="center" vertical="center"/>
    </xf>
    <xf numFmtId="0" fontId="3" fillId="2" borderId="2" xfId="3" applyFont="1" applyAlignment="1">
      <alignment horizontal="center" vertical="center" wrapText="1"/>
    </xf>
    <xf numFmtId="0" fontId="4" fillId="0" borderId="0" xfId="0" applyFont="1" applyAlignment="1">
      <alignment horizontal="center" vertical="center" textRotation="90"/>
    </xf>
    <xf numFmtId="0" fontId="11" fillId="5" borderId="15" xfId="8" applyAlignment="1">
      <alignment horizontal="center" textRotation="90"/>
    </xf>
    <xf numFmtId="0" fontId="10" fillId="4" borderId="15" xfId="7" applyAlignment="1">
      <alignment horizontal="center" textRotation="90"/>
    </xf>
    <xf numFmtId="0" fontId="10" fillId="4" borderId="15" xfId="7" applyAlignment="1">
      <alignment horizontal="center" vertical="center"/>
    </xf>
    <xf numFmtId="0" fontId="7" fillId="0" borderId="0" xfId="5" applyAlignment="1">
      <alignment horizontal="center" vertical="center"/>
    </xf>
    <xf numFmtId="0" fontId="2" fillId="0" borderId="0" xfId="2" applyAlignment="1">
      <alignment horizontal="center" vertical="center" textRotation="90"/>
    </xf>
    <xf numFmtId="0" fontId="2" fillId="0" borderId="1" xfId="1" applyAlignment="1">
      <alignment horizontal="center"/>
    </xf>
    <xf numFmtId="0" fontId="2" fillId="0" borderId="9" xfId="2" applyFill="1" applyBorder="1" applyAlignment="1">
      <alignment horizontal="center" vertical="center" textRotation="90"/>
    </xf>
    <xf numFmtId="0" fontId="2" fillId="0" borderId="9" xfId="2" applyBorder="1" applyAlignment="1">
      <alignment horizontal="center" vertical="center" textRotation="90"/>
    </xf>
  </cellXfs>
  <cellStyles count="9">
    <cellStyle name="Calcul" xfId="7" builtinId="22"/>
    <cellStyle name="Commentaire" xfId="3" builtinId="10"/>
    <cellStyle name="Entrée" xfId="8" builtinId="20"/>
    <cellStyle name="Lien hypertexte" xfId="6" builtinId="8"/>
    <cellStyle name="Normal" xfId="0" builtinId="0"/>
    <cellStyle name="Texte explicatif" xfId="4" builtinId="53"/>
    <cellStyle name="Titre" xfId="5" builtinId="15"/>
    <cellStyle name="Titre 3" xfId="1" builtinId="18"/>
    <cellStyle name="Titre 4" xfId="2" builtinId="19"/>
  </cellStyles>
  <dxfs count="7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swtor-spy.com/datacrons/balmorra-republic/332/" TargetMode="External"/><Relationship Id="rId18" Type="http://schemas.openxmlformats.org/officeDocument/2006/relationships/hyperlink" Target="http://www.swtor-spy.com/datacrons/belsavis/643/" TargetMode="External"/><Relationship Id="rId26" Type="http://schemas.openxmlformats.org/officeDocument/2006/relationships/hyperlink" Target="http://www.swtor-spy.com/datacrons/corellia/970/" TargetMode="External"/><Relationship Id="rId39" Type="http://schemas.openxmlformats.org/officeDocument/2006/relationships/hyperlink" Target="http://www.swtor-spy.com/datacrons/hoth-2/802/" TargetMode="External"/><Relationship Id="rId21" Type="http://schemas.openxmlformats.org/officeDocument/2006/relationships/hyperlink" Target="http://www.swtor-spy.com/datacrons/corellia/970/" TargetMode="External"/><Relationship Id="rId34" Type="http://schemas.openxmlformats.org/officeDocument/2006/relationships/hyperlink" Target="http://www.swtor-spy.com/datacrons/dromund-kaas/115/" TargetMode="External"/><Relationship Id="rId42" Type="http://schemas.openxmlformats.org/officeDocument/2006/relationships/hyperlink" Target="http://www.swtor-spy.com/datacrons/hoth-2/802/" TargetMode="External"/><Relationship Id="rId47" Type="http://schemas.openxmlformats.org/officeDocument/2006/relationships/hyperlink" Target="http://www.swtor-spy.com/datacrons/ilum-2/1633/" TargetMode="External"/><Relationship Id="rId50" Type="http://schemas.openxmlformats.org/officeDocument/2006/relationships/hyperlink" Target="http://www.swtor-spy.com/datacrons/ilum-2/1633/" TargetMode="External"/><Relationship Id="rId55" Type="http://schemas.openxmlformats.org/officeDocument/2006/relationships/hyperlink" Target="http://www.swtor-spy.com/datacrons/nar-shaddaa/94/" TargetMode="External"/><Relationship Id="rId63" Type="http://schemas.openxmlformats.org/officeDocument/2006/relationships/hyperlink" Target="http://www.swtor-spy.com/datacrons/ord-mantell/8/" TargetMode="External"/><Relationship Id="rId68" Type="http://schemas.openxmlformats.org/officeDocument/2006/relationships/hyperlink" Target="http://www.swtor-spy.com/datacrons/quesh/906/" TargetMode="External"/><Relationship Id="rId76" Type="http://schemas.openxmlformats.org/officeDocument/2006/relationships/hyperlink" Target="http://www.swtor-spy.com/datacrons/taris/69/" TargetMode="External"/><Relationship Id="rId84" Type="http://schemas.openxmlformats.org/officeDocument/2006/relationships/hyperlink" Target="http://www.swtor-spy.com/datacrons/tython/31/" TargetMode="External"/><Relationship Id="rId89" Type="http://schemas.openxmlformats.org/officeDocument/2006/relationships/hyperlink" Target="http://www.swtor-spy.com/datacrons/voss/858/" TargetMode="External"/><Relationship Id="rId7" Type="http://schemas.openxmlformats.org/officeDocument/2006/relationships/hyperlink" Target="http://www.swtor-spy.com/datacrons/balmorra-empire/193/" TargetMode="External"/><Relationship Id="rId71" Type="http://schemas.openxmlformats.org/officeDocument/2006/relationships/hyperlink" Target="http://www.swtor-spy.com/datacrons/taris/69/" TargetMode="External"/><Relationship Id="rId2" Type="http://schemas.openxmlformats.org/officeDocument/2006/relationships/hyperlink" Target="http://www.swtor-spy.com/datacrons/alderaan/327/" TargetMode="External"/><Relationship Id="rId16" Type="http://schemas.openxmlformats.org/officeDocument/2006/relationships/hyperlink" Target="http://www.swtor-spy.com/datacrons/belsavis/643/" TargetMode="External"/><Relationship Id="rId29" Type="http://schemas.openxmlformats.org/officeDocument/2006/relationships/hyperlink" Target="http://www.swtor-spy.com/datacrons/coruscant/41/" TargetMode="External"/><Relationship Id="rId11" Type="http://schemas.openxmlformats.org/officeDocument/2006/relationships/hyperlink" Target="http://www.swtor-spy.com/datacrons/balmorra-republic/332/" TargetMode="External"/><Relationship Id="rId24" Type="http://schemas.openxmlformats.org/officeDocument/2006/relationships/hyperlink" Target="http://www.swtor-spy.com/datacrons/corellia/970/" TargetMode="External"/><Relationship Id="rId32" Type="http://schemas.openxmlformats.org/officeDocument/2006/relationships/hyperlink" Target="http://www.swtor-spy.com/datacrons/coruscant/41/" TargetMode="External"/><Relationship Id="rId37" Type="http://schemas.openxmlformats.org/officeDocument/2006/relationships/hyperlink" Target="http://www.swtor-spy.com/datacrons/dromund-kaas/115/" TargetMode="External"/><Relationship Id="rId40" Type="http://schemas.openxmlformats.org/officeDocument/2006/relationships/hyperlink" Target="http://www.swtor-spy.com/datacrons/hoth-2/802/" TargetMode="External"/><Relationship Id="rId45" Type="http://schemas.openxmlformats.org/officeDocument/2006/relationships/hyperlink" Target="http://www.swtor-spy.com/datacrons/hutta/9/" TargetMode="External"/><Relationship Id="rId53" Type="http://schemas.openxmlformats.org/officeDocument/2006/relationships/hyperlink" Target="http://www.swtor-spy.com/datacrons/korriban/7/" TargetMode="External"/><Relationship Id="rId58" Type="http://schemas.openxmlformats.org/officeDocument/2006/relationships/hyperlink" Target="http://www.swtor-spy.com/datacrons/nar-shaddaa/94/" TargetMode="External"/><Relationship Id="rId66" Type="http://schemas.openxmlformats.org/officeDocument/2006/relationships/hyperlink" Target="http://www.swtor-spy.com/datacrons/quesh/906/" TargetMode="External"/><Relationship Id="rId74" Type="http://schemas.openxmlformats.org/officeDocument/2006/relationships/hyperlink" Target="http://www.swtor-spy.com/datacrons/taris/69/" TargetMode="External"/><Relationship Id="rId79" Type="http://schemas.openxmlformats.org/officeDocument/2006/relationships/hyperlink" Target="http://www.swtor-spy.com/datacrons/tatooine/139/" TargetMode="External"/><Relationship Id="rId87" Type="http://schemas.openxmlformats.org/officeDocument/2006/relationships/hyperlink" Target="http://www.swtor-spy.com/datacrons/voss/858/" TargetMode="External"/><Relationship Id="rId5" Type="http://schemas.openxmlformats.org/officeDocument/2006/relationships/hyperlink" Target="http://www.swtor-spy.com/datacrons/alderaan/327/" TargetMode="External"/><Relationship Id="rId61" Type="http://schemas.openxmlformats.org/officeDocument/2006/relationships/hyperlink" Target="http://www.swtor-spy.com/datacrons/nar-shaddaa/94/" TargetMode="External"/><Relationship Id="rId82" Type="http://schemas.openxmlformats.org/officeDocument/2006/relationships/hyperlink" Target="http://www.swtor-spy.com/datacrons/tatooine/139/" TargetMode="External"/><Relationship Id="rId90" Type="http://schemas.openxmlformats.org/officeDocument/2006/relationships/hyperlink" Target="http://www.swtor-spy.com/datacrons/voss/858/" TargetMode="External"/><Relationship Id="rId19" Type="http://schemas.openxmlformats.org/officeDocument/2006/relationships/hyperlink" Target="http://www.swtor-spy.com/datacrons/belsavis/643/" TargetMode="External"/><Relationship Id="rId14" Type="http://schemas.openxmlformats.org/officeDocument/2006/relationships/hyperlink" Target="http://www.swtor-spy.com/datacrons/balmorra-republic/332/" TargetMode="External"/><Relationship Id="rId22" Type="http://schemas.openxmlformats.org/officeDocument/2006/relationships/hyperlink" Target="http://www.swtor-spy.com/datacrons/corellia/970/" TargetMode="External"/><Relationship Id="rId27" Type="http://schemas.openxmlformats.org/officeDocument/2006/relationships/hyperlink" Target="http://www.swtor-spy.com/datacrons/corellia/970/" TargetMode="External"/><Relationship Id="rId30" Type="http://schemas.openxmlformats.org/officeDocument/2006/relationships/hyperlink" Target="http://www.swtor-spy.com/datacrons/coruscant/41/" TargetMode="External"/><Relationship Id="rId35" Type="http://schemas.openxmlformats.org/officeDocument/2006/relationships/hyperlink" Target="http://www.swtor-spy.com/datacrons/dromund-kaas/115/" TargetMode="External"/><Relationship Id="rId43" Type="http://schemas.openxmlformats.org/officeDocument/2006/relationships/hyperlink" Target="http://www.swtor-spy.com/datacrons/hoth-2/802/" TargetMode="External"/><Relationship Id="rId48" Type="http://schemas.openxmlformats.org/officeDocument/2006/relationships/hyperlink" Target="http://www.swtor-spy.com/datacrons/ilum-2/1633/" TargetMode="External"/><Relationship Id="rId56" Type="http://schemas.openxmlformats.org/officeDocument/2006/relationships/hyperlink" Target="http://www.swtor-spy.com/datacrons/nar-shaddaa/94/" TargetMode="External"/><Relationship Id="rId64" Type="http://schemas.openxmlformats.org/officeDocument/2006/relationships/hyperlink" Target="http://www.swtor-spy.com/datacrons/ord-mantell/8/" TargetMode="External"/><Relationship Id="rId69" Type="http://schemas.openxmlformats.org/officeDocument/2006/relationships/hyperlink" Target="http://www.swtor-spy.com/datacrons/republic-fleet/2014/" TargetMode="External"/><Relationship Id="rId77" Type="http://schemas.openxmlformats.org/officeDocument/2006/relationships/hyperlink" Target="http://www.swtor-spy.com/datacrons/tatooine/139/" TargetMode="External"/><Relationship Id="rId8" Type="http://schemas.openxmlformats.org/officeDocument/2006/relationships/hyperlink" Target="http://www.swtor-spy.com/datacrons/balmorra-empire/193/" TargetMode="External"/><Relationship Id="rId51" Type="http://schemas.openxmlformats.org/officeDocument/2006/relationships/hyperlink" Target="http://www.swtor-spy.com/datacrons/ilum-2/1633/" TargetMode="External"/><Relationship Id="rId72" Type="http://schemas.openxmlformats.org/officeDocument/2006/relationships/hyperlink" Target="http://www.swtor-spy.com/datacrons/taris/69/" TargetMode="External"/><Relationship Id="rId80" Type="http://schemas.openxmlformats.org/officeDocument/2006/relationships/hyperlink" Target="http://www.swtor-spy.com/datacrons/tatooine/139/" TargetMode="External"/><Relationship Id="rId85" Type="http://schemas.openxmlformats.org/officeDocument/2006/relationships/hyperlink" Target="http://www.swtor-spy.com/datacrons/tython/31/" TargetMode="External"/><Relationship Id="rId3" Type="http://schemas.openxmlformats.org/officeDocument/2006/relationships/hyperlink" Target="http://www.swtor-spy.com/datacrons/alderaan/327/" TargetMode="External"/><Relationship Id="rId12" Type="http://schemas.openxmlformats.org/officeDocument/2006/relationships/hyperlink" Target="http://www.swtor-spy.com/datacrons/balmorra-republic/332/" TargetMode="External"/><Relationship Id="rId17" Type="http://schemas.openxmlformats.org/officeDocument/2006/relationships/hyperlink" Target="http://www.swtor-spy.com/datacrons/belsavis/643/" TargetMode="External"/><Relationship Id="rId25" Type="http://schemas.openxmlformats.org/officeDocument/2006/relationships/hyperlink" Target="http://www.swtor-spy.com/datacrons/corellia/970/" TargetMode="External"/><Relationship Id="rId33" Type="http://schemas.openxmlformats.org/officeDocument/2006/relationships/hyperlink" Target="http://www.swtor-spy.com/datacrons/coruscant/41/" TargetMode="External"/><Relationship Id="rId38" Type="http://schemas.openxmlformats.org/officeDocument/2006/relationships/hyperlink" Target="http://www.swtor-spy.com/datacrons/dromund-kaas/115/" TargetMode="External"/><Relationship Id="rId46" Type="http://schemas.openxmlformats.org/officeDocument/2006/relationships/hyperlink" Target="http://www.swtor-spy.com/datacrons/hutta/9/" TargetMode="External"/><Relationship Id="rId59" Type="http://schemas.openxmlformats.org/officeDocument/2006/relationships/hyperlink" Target="http://www.swtor-spy.com/datacrons/nar-shaddaa/94/" TargetMode="External"/><Relationship Id="rId67" Type="http://schemas.openxmlformats.org/officeDocument/2006/relationships/hyperlink" Target="http://www.swtor-spy.com/datacrons/quesh/906/" TargetMode="External"/><Relationship Id="rId20" Type="http://schemas.openxmlformats.org/officeDocument/2006/relationships/hyperlink" Target="http://www.swtor-spy.com/datacrons/belsavis/643/" TargetMode="External"/><Relationship Id="rId41" Type="http://schemas.openxmlformats.org/officeDocument/2006/relationships/hyperlink" Target="http://www.swtor-spy.com/datacrons/hoth-2/802/" TargetMode="External"/><Relationship Id="rId54" Type="http://schemas.openxmlformats.org/officeDocument/2006/relationships/hyperlink" Target="http://www.swtor-spy.com/datacrons/korriban/7/" TargetMode="External"/><Relationship Id="rId62" Type="http://schemas.openxmlformats.org/officeDocument/2006/relationships/hyperlink" Target="http://www.swtor-spy.com/datacrons/nar-shaddaa/94/" TargetMode="External"/><Relationship Id="rId70" Type="http://schemas.openxmlformats.org/officeDocument/2006/relationships/hyperlink" Target="http://www.swtor-spy.com/datacrons/taris/69/" TargetMode="External"/><Relationship Id="rId75" Type="http://schemas.openxmlformats.org/officeDocument/2006/relationships/hyperlink" Target="http://www.swtor-spy.com/datacrons/taris/69/" TargetMode="External"/><Relationship Id="rId83" Type="http://schemas.openxmlformats.org/officeDocument/2006/relationships/hyperlink" Target="http://www.swtor-spy.com/datacrons/tython/31/" TargetMode="External"/><Relationship Id="rId88" Type="http://schemas.openxmlformats.org/officeDocument/2006/relationships/hyperlink" Target="http://www.swtor-spy.com/datacrons/voss/858/" TargetMode="External"/><Relationship Id="rId91" Type="http://schemas.openxmlformats.org/officeDocument/2006/relationships/printerSettings" Target="../printerSettings/printerSettings1.bin"/><Relationship Id="rId1" Type="http://schemas.openxmlformats.org/officeDocument/2006/relationships/hyperlink" Target="http://www.swtor-spy.com/datacrons/alderaan/327/" TargetMode="External"/><Relationship Id="rId6" Type="http://schemas.openxmlformats.org/officeDocument/2006/relationships/hyperlink" Target="http://www.swtor-spy.com/datacrons/balmorra-empire/193/" TargetMode="External"/><Relationship Id="rId15" Type="http://schemas.openxmlformats.org/officeDocument/2006/relationships/hyperlink" Target="http://www.swtor-spy.com/datacrons/balmorra-republic/332/" TargetMode="External"/><Relationship Id="rId23" Type="http://schemas.openxmlformats.org/officeDocument/2006/relationships/hyperlink" Target="http://www.swtor-spy.com/datacrons/corellia/970/" TargetMode="External"/><Relationship Id="rId28" Type="http://schemas.openxmlformats.org/officeDocument/2006/relationships/hyperlink" Target="http://www.swtor-spy.com/datacrons/corellia/970/" TargetMode="External"/><Relationship Id="rId36" Type="http://schemas.openxmlformats.org/officeDocument/2006/relationships/hyperlink" Target="http://www.swtor-spy.com/datacrons/dromund-kaas/115/" TargetMode="External"/><Relationship Id="rId49" Type="http://schemas.openxmlformats.org/officeDocument/2006/relationships/hyperlink" Target="http://www.swtor-spy.com/datacrons/ilum-2/1633/" TargetMode="External"/><Relationship Id="rId57" Type="http://schemas.openxmlformats.org/officeDocument/2006/relationships/hyperlink" Target="http://www.swtor-spy.com/datacrons/nar-shaddaa/94/" TargetMode="External"/><Relationship Id="rId10" Type="http://schemas.openxmlformats.org/officeDocument/2006/relationships/hyperlink" Target="http://www.swtor-spy.com/datacrons/balmorra-empire/193/" TargetMode="External"/><Relationship Id="rId31" Type="http://schemas.openxmlformats.org/officeDocument/2006/relationships/hyperlink" Target="http://www.swtor-spy.com/datacrons/coruscant/41/" TargetMode="External"/><Relationship Id="rId44" Type="http://schemas.openxmlformats.org/officeDocument/2006/relationships/hyperlink" Target="http://www.swtor-spy.com/datacrons/hutta/9/" TargetMode="External"/><Relationship Id="rId52" Type="http://schemas.openxmlformats.org/officeDocument/2006/relationships/hyperlink" Target="http://www.swtor-spy.com/datacrons/korriban/7/" TargetMode="External"/><Relationship Id="rId60" Type="http://schemas.openxmlformats.org/officeDocument/2006/relationships/hyperlink" Target="http://www.swtor-spy.com/datacrons/nar-shaddaa/94/" TargetMode="External"/><Relationship Id="rId65" Type="http://schemas.openxmlformats.org/officeDocument/2006/relationships/hyperlink" Target="http://www.swtor-spy.com/datacrons/ord-mantell/8/" TargetMode="External"/><Relationship Id="rId73" Type="http://schemas.openxmlformats.org/officeDocument/2006/relationships/hyperlink" Target="http://www.swtor-spy.com/datacrons/taris/69/" TargetMode="External"/><Relationship Id="rId78" Type="http://schemas.openxmlformats.org/officeDocument/2006/relationships/hyperlink" Target="http://www.swtor-spy.com/datacrons/tatooine/139/" TargetMode="External"/><Relationship Id="rId81" Type="http://schemas.openxmlformats.org/officeDocument/2006/relationships/hyperlink" Target="http://www.swtor-spy.com/datacrons/tatooine/139/" TargetMode="External"/><Relationship Id="rId86" Type="http://schemas.openxmlformats.org/officeDocument/2006/relationships/hyperlink" Target="http://www.swtor-spy.com/datacrons/voss/858/" TargetMode="External"/><Relationship Id="rId4" Type="http://schemas.openxmlformats.org/officeDocument/2006/relationships/hyperlink" Target="http://www.swtor-spy.com/datacrons/alderaan/327/" TargetMode="External"/><Relationship Id="rId9" Type="http://schemas.openxmlformats.org/officeDocument/2006/relationships/hyperlink" Target="http://www.swtor-spy.com/datacrons/balmorra-empire/1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BA102"/>
  <sheetViews>
    <sheetView tabSelected="1" zoomScale="85" zoomScaleNormal="85" workbookViewId="0">
      <pane xSplit="15" ySplit="12" topLeftCell="P85" activePane="bottomRight" state="frozenSplit"/>
      <selection pane="topRight" activeCell="O1" sqref="O1"/>
      <selection pane="bottomLeft" activeCell="A16" sqref="A16"/>
      <selection pane="bottomRight" activeCell="AP101" sqref="AP101"/>
    </sheetView>
  </sheetViews>
  <sheetFormatPr baseColWidth="10" defaultRowHeight="15"/>
  <cols>
    <col min="1" max="1" width="0.85546875" customWidth="1"/>
    <col min="2" max="2" width="14.42578125" bestFit="1" customWidth="1"/>
    <col min="3" max="3" width="20" style="51" customWidth="1"/>
    <col min="4" max="4" width="5.5703125" customWidth="1"/>
    <col min="5" max="5" width="4.42578125" customWidth="1"/>
    <col min="6" max="6" width="18.7109375" bestFit="1" customWidth="1"/>
    <col min="7" max="7" width="4.140625" bestFit="1" customWidth="1"/>
    <col min="8" max="8" width="3" style="38" hidden="1" customWidth="1"/>
    <col min="9" max="9" width="18.7109375" bestFit="1" customWidth="1"/>
    <col min="10" max="10" width="4.140625" style="48" bestFit="1" customWidth="1"/>
    <col min="11" max="11" width="3.140625" hidden="1" customWidth="1"/>
    <col min="12" max="14" width="8.28515625" bestFit="1" customWidth="1"/>
    <col min="15" max="15" width="110" hidden="1" customWidth="1"/>
    <col min="16" max="16" width="0.85546875" hidden="1" customWidth="1"/>
    <col min="17" max="20" width="3.5703125" hidden="1" customWidth="1"/>
    <col min="21" max="21" width="4.140625" hidden="1" customWidth="1"/>
    <col min="22" max="22" width="3.5703125" hidden="1" customWidth="1"/>
    <col min="23" max="23" width="0.85546875" hidden="1" customWidth="1"/>
    <col min="24" max="24" width="12.140625" style="16" customWidth="1"/>
    <col min="25" max="25" width="0.85546875" hidden="1" customWidth="1"/>
    <col min="26" max="29" width="3.5703125" hidden="1" customWidth="1"/>
    <col min="30" max="30" width="4.140625" hidden="1" customWidth="1"/>
    <col min="31" max="31" width="3.5703125" hidden="1" customWidth="1"/>
    <col min="32" max="32" width="0.85546875" hidden="1" customWidth="1"/>
    <col min="33" max="33" width="12.140625" style="16" customWidth="1"/>
    <col min="34" max="34" width="0.85546875" hidden="1" customWidth="1"/>
    <col min="35" max="38" width="3.5703125" hidden="1" customWidth="1"/>
    <col min="39" max="39" width="4.140625" hidden="1" customWidth="1"/>
    <col min="40" max="40" width="3.5703125" hidden="1" customWidth="1"/>
    <col min="41" max="41" width="0.85546875" hidden="1" customWidth="1"/>
    <col min="42" max="42" width="13.42578125" style="16" customWidth="1"/>
    <col min="43" max="43" width="1" hidden="1" customWidth="1"/>
    <col min="44" max="47" width="3.5703125" hidden="1" customWidth="1"/>
    <col min="48" max="48" width="4.140625" hidden="1" customWidth="1"/>
    <col min="49" max="49" width="3.5703125" hidden="1" customWidth="1"/>
    <col min="50" max="50" width="0.85546875" hidden="1" customWidth="1"/>
    <col min="51" max="51" width="12.140625" style="16" customWidth="1"/>
    <col min="52" max="52" width="30.85546875" bestFit="1" customWidth="1"/>
  </cols>
  <sheetData>
    <row r="1" spans="2:51" ht="22.5" customHeight="1">
      <c r="B1" s="64" t="s">
        <v>368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Q1" s="61" t="s">
        <v>41</v>
      </c>
      <c r="R1" s="61" t="s">
        <v>46</v>
      </c>
      <c r="S1" s="61" t="s">
        <v>329</v>
      </c>
      <c r="T1" s="61" t="s">
        <v>330</v>
      </c>
      <c r="U1" s="61" t="s">
        <v>53</v>
      </c>
      <c r="V1" s="61" t="s">
        <v>36</v>
      </c>
      <c r="X1" s="43"/>
      <c r="Y1" s="43"/>
      <c r="Z1" s="62" t="s">
        <v>41</v>
      </c>
      <c r="AA1" s="62" t="s">
        <v>46</v>
      </c>
      <c r="AB1" s="62" t="s">
        <v>329</v>
      </c>
      <c r="AC1" s="62" t="s">
        <v>330</v>
      </c>
      <c r="AD1" s="62" t="s">
        <v>53</v>
      </c>
      <c r="AE1" s="62" t="s">
        <v>36</v>
      </c>
      <c r="AF1" s="43"/>
      <c r="AG1" s="43"/>
      <c r="AH1" s="43"/>
      <c r="AI1" s="62" t="s">
        <v>41</v>
      </c>
      <c r="AJ1" s="62" t="s">
        <v>46</v>
      </c>
      <c r="AK1" s="62" t="s">
        <v>329</v>
      </c>
      <c r="AL1" s="62" t="s">
        <v>330</v>
      </c>
      <c r="AM1" s="62" t="s">
        <v>53</v>
      </c>
      <c r="AN1" s="62" t="s">
        <v>36</v>
      </c>
      <c r="AO1" s="43"/>
      <c r="AP1" s="39"/>
      <c r="AQ1" s="43"/>
      <c r="AR1" s="62" t="s">
        <v>41</v>
      </c>
      <c r="AS1" s="62" t="s">
        <v>46</v>
      </c>
      <c r="AT1" s="62" t="s">
        <v>329</v>
      </c>
      <c r="AU1" s="62" t="s">
        <v>330</v>
      </c>
      <c r="AV1" s="62" t="s">
        <v>53</v>
      </c>
      <c r="AW1" s="62" t="s">
        <v>36</v>
      </c>
      <c r="AX1" s="43"/>
      <c r="AY1" s="39"/>
    </row>
    <row r="2" spans="2:51"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Q2" s="61"/>
      <c r="R2" s="61"/>
      <c r="S2" s="61"/>
      <c r="T2" s="61"/>
      <c r="U2" s="61"/>
      <c r="V2" s="61"/>
      <c r="X2" s="33" t="s">
        <v>324</v>
      </c>
      <c r="Y2" s="30"/>
      <c r="Z2" s="62"/>
      <c r="AA2" s="62"/>
      <c r="AB2" s="62"/>
      <c r="AC2" s="62"/>
      <c r="AD2" s="62"/>
      <c r="AE2" s="62"/>
      <c r="AF2" s="30"/>
      <c r="AG2" s="33" t="s">
        <v>324</v>
      </c>
      <c r="AH2" s="30"/>
      <c r="AI2" s="62"/>
      <c r="AJ2" s="62"/>
      <c r="AK2" s="62"/>
      <c r="AL2" s="62"/>
      <c r="AM2" s="62"/>
      <c r="AN2" s="62"/>
      <c r="AO2" s="30"/>
      <c r="AP2" s="33" t="s">
        <v>325</v>
      </c>
      <c r="AQ2" s="30"/>
      <c r="AR2" s="62"/>
      <c r="AS2" s="62"/>
      <c r="AT2" s="62"/>
      <c r="AU2" s="62"/>
      <c r="AV2" s="62"/>
      <c r="AW2" s="62"/>
      <c r="AX2" s="30"/>
      <c r="AY2" s="33" t="s">
        <v>325</v>
      </c>
    </row>
    <row r="3" spans="2:51" ht="14.25" customHeight="1">
      <c r="B3" s="23"/>
      <c r="C3" s="49"/>
      <c r="D3" s="23"/>
      <c r="E3" s="23"/>
      <c r="F3" s="23"/>
      <c r="G3" s="23"/>
      <c r="H3" s="35"/>
      <c r="I3" s="23"/>
      <c r="J3" s="45"/>
      <c r="K3" s="29"/>
      <c r="L3" s="23"/>
      <c r="M3" s="23"/>
      <c r="N3" s="23"/>
      <c r="Q3" s="61"/>
      <c r="R3" s="61"/>
      <c r="S3" s="61"/>
      <c r="T3" s="61"/>
      <c r="U3" s="61"/>
      <c r="V3" s="61"/>
      <c r="X3" s="34">
        <f>COUNTIF(X13:X102,"x")</f>
        <v>58</v>
      </c>
      <c r="Y3" s="30"/>
      <c r="Z3" s="62"/>
      <c r="AA3" s="62"/>
      <c r="AB3" s="62"/>
      <c r="AC3" s="62"/>
      <c r="AD3" s="62"/>
      <c r="AE3" s="62"/>
      <c r="AG3" s="34">
        <f>COUNTIF(AG13:AG102,"x")</f>
        <v>5</v>
      </c>
      <c r="AH3" s="30"/>
      <c r="AI3" s="62"/>
      <c r="AJ3" s="62"/>
      <c r="AK3" s="62"/>
      <c r="AL3" s="62"/>
      <c r="AM3" s="62"/>
      <c r="AN3" s="62"/>
      <c r="AP3" s="34">
        <f>COUNTIF(AP13:AP102,"x")</f>
        <v>32</v>
      </c>
      <c r="AQ3" s="30"/>
      <c r="AR3" s="62"/>
      <c r="AS3" s="62"/>
      <c r="AT3" s="62"/>
      <c r="AU3" s="62"/>
      <c r="AV3" s="62"/>
      <c r="AW3" s="62"/>
      <c r="AY3" s="34">
        <f>COUNTIF(AY13:AY102,"x")</f>
        <v>9</v>
      </c>
    </row>
    <row r="4" spans="2:51" s="30" customFormat="1" ht="4.5" customHeight="1">
      <c r="B4" s="31"/>
      <c r="C4" s="50"/>
      <c r="D4" s="31"/>
      <c r="E4" s="31"/>
      <c r="F4" s="31"/>
      <c r="G4" s="31"/>
      <c r="H4" s="36"/>
      <c r="I4" s="31"/>
      <c r="J4" s="46"/>
      <c r="K4" s="31"/>
      <c r="L4" s="31"/>
      <c r="M4" s="31"/>
      <c r="N4" s="31"/>
      <c r="O4"/>
      <c r="X4" s="41"/>
      <c r="AG4" s="32"/>
      <c r="AP4" s="32"/>
      <c r="AY4" s="32"/>
    </row>
    <row r="5" spans="2:51" ht="15.75" customHeight="1">
      <c r="B5" s="28"/>
      <c r="C5" s="49"/>
      <c r="D5" s="28"/>
      <c r="E5" s="28"/>
      <c r="F5" s="28"/>
      <c r="G5" s="28"/>
      <c r="H5" s="35"/>
      <c r="I5" s="28"/>
      <c r="J5" s="45"/>
      <c r="K5" s="29"/>
      <c r="L5" s="28"/>
      <c r="M5" s="63" t="s">
        <v>41</v>
      </c>
      <c r="N5" s="63"/>
      <c r="Q5" s="40">
        <f>SUM(Q$13:Q$102)</f>
        <v>26</v>
      </c>
      <c r="R5" s="40">
        <f t="shared" ref="R5:V10" si="0">SUM(R$13:R$102)</f>
        <v>26</v>
      </c>
      <c r="S5" s="40">
        <f t="shared" si="0"/>
        <v>26</v>
      </c>
      <c r="T5" s="40">
        <f t="shared" si="0"/>
        <v>30</v>
      </c>
      <c r="U5" s="40">
        <f t="shared" si="0"/>
        <v>26</v>
      </c>
      <c r="V5" s="40">
        <f t="shared" si="0"/>
        <v>26</v>
      </c>
      <c r="X5" s="42">
        <f>Q5</f>
        <v>26</v>
      </c>
      <c r="Z5" s="40">
        <f>SUM(Z$13:Z$102)</f>
        <v>0</v>
      </c>
      <c r="AA5" s="40">
        <f t="shared" ref="AA5:AE10" si="1">SUM(AA$13:AA$102)</f>
        <v>4</v>
      </c>
      <c r="AB5" s="40">
        <f t="shared" si="1"/>
        <v>2</v>
      </c>
      <c r="AC5" s="40">
        <f t="shared" si="1"/>
        <v>0</v>
      </c>
      <c r="AD5" s="40">
        <f t="shared" si="1"/>
        <v>2</v>
      </c>
      <c r="AE5" s="40">
        <f t="shared" si="1"/>
        <v>0</v>
      </c>
      <c r="AG5" s="42">
        <f>Z5</f>
        <v>0</v>
      </c>
      <c r="AI5" s="40">
        <f>SUM(AI$13:AI$102)</f>
        <v>13</v>
      </c>
      <c r="AJ5" s="40">
        <f t="shared" ref="AJ5:AN10" si="2">SUM(AJ$13:AJ$102)</f>
        <v>11</v>
      </c>
      <c r="AK5" s="40">
        <f t="shared" si="2"/>
        <v>14</v>
      </c>
      <c r="AL5" s="40">
        <f t="shared" si="2"/>
        <v>11</v>
      </c>
      <c r="AM5" s="40">
        <f t="shared" si="2"/>
        <v>15</v>
      </c>
      <c r="AN5" s="40">
        <f t="shared" si="2"/>
        <v>16</v>
      </c>
      <c r="AP5" s="42">
        <f>AI5</f>
        <v>13</v>
      </c>
      <c r="AR5" s="40">
        <f>SUM(AR$13:AR$102)</f>
        <v>4</v>
      </c>
      <c r="AS5" s="40">
        <f t="shared" ref="AS5:AW10" si="3">SUM(AS$13:AS$102)</f>
        <v>0</v>
      </c>
      <c r="AT5" s="40">
        <f t="shared" si="3"/>
        <v>4</v>
      </c>
      <c r="AU5" s="40">
        <f t="shared" si="3"/>
        <v>2</v>
      </c>
      <c r="AV5" s="40">
        <f t="shared" si="3"/>
        <v>2</v>
      </c>
      <c r="AW5" s="40">
        <f t="shared" si="3"/>
        <v>4</v>
      </c>
      <c r="AY5" s="42">
        <f>AR5</f>
        <v>4</v>
      </c>
    </row>
    <row r="6" spans="2:51" ht="15.75" customHeight="1">
      <c r="B6" s="28"/>
      <c r="C6" s="49"/>
      <c r="D6" s="28"/>
      <c r="E6" s="28"/>
      <c r="F6" s="28"/>
      <c r="G6" s="28"/>
      <c r="H6" s="35"/>
      <c r="I6" s="28"/>
      <c r="J6" s="45"/>
      <c r="K6" s="29"/>
      <c r="L6" s="28"/>
      <c r="M6" s="63" t="s">
        <v>46</v>
      </c>
      <c r="N6" s="63"/>
      <c r="Q6" s="40">
        <f>SUM(Q$13:Q$102)</f>
        <v>26</v>
      </c>
      <c r="R6" s="40">
        <f t="shared" si="0"/>
        <v>26</v>
      </c>
      <c r="S6" s="40">
        <f t="shared" si="0"/>
        <v>26</v>
      </c>
      <c r="T6" s="40">
        <f t="shared" si="0"/>
        <v>30</v>
      </c>
      <c r="U6" s="40">
        <f t="shared" si="0"/>
        <v>26</v>
      </c>
      <c r="V6" s="40">
        <f t="shared" si="0"/>
        <v>26</v>
      </c>
      <c r="X6" s="42">
        <f>R6</f>
        <v>26</v>
      </c>
      <c r="Z6" s="40">
        <f>SUM(Z$13:Z$102)</f>
        <v>0</v>
      </c>
      <c r="AA6" s="40">
        <f t="shared" si="1"/>
        <v>4</v>
      </c>
      <c r="AB6" s="40">
        <f t="shared" si="1"/>
        <v>2</v>
      </c>
      <c r="AC6" s="40">
        <f t="shared" si="1"/>
        <v>0</v>
      </c>
      <c r="AD6" s="40">
        <f t="shared" si="1"/>
        <v>2</v>
      </c>
      <c r="AE6" s="40">
        <f t="shared" si="1"/>
        <v>0</v>
      </c>
      <c r="AG6" s="42">
        <f>AA6</f>
        <v>4</v>
      </c>
      <c r="AI6" s="40">
        <f>SUM(AI$13:AI$102)</f>
        <v>13</v>
      </c>
      <c r="AJ6" s="40">
        <f t="shared" si="2"/>
        <v>11</v>
      </c>
      <c r="AK6" s="40">
        <f t="shared" si="2"/>
        <v>14</v>
      </c>
      <c r="AL6" s="40">
        <f t="shared" si="2"/>
        <v>11</v>
      </c>
      <c r="AM6" s="40">
        <f t="shared" si="2"/>
        <v>15</v>
      </c>
      <c r="AN6" s="40">
        <f t="shared" si="2"/>
        <v>16</v>
      </c>
      <c r="AP6" s="42">
        <f>AJ6</f>
        <v>11</v>
      </c>
      <c r="AR6" s="40">
        <f>SUM(AR$13:AR$102)</f>
        <v>4</v>
      </c>
      <c r="AS6" s="40">
        <f t="shared" si="3"/>
        <v>0</v>
      </c>
      <c r="AT6" s="40">
        <f t="shared" si="3"/>
        <v>4</v>
      </c>
      <c r="AU6" s="40">
        <f t="shared" si="3"/>
        <v>2</v>
      </c>
      <c r="AV6" s="40">
        <f t="shared" si="3"/>
        <v>2</v>
      </c>
      <c r="AW6" s="40">
        <f t="shared" si="3"/>
        <v>4</v>
      </c>
      <c r="AY6" s="42">
        <f>AS6</f>
        <v>0</v>
      </c>
    </row>
    <row r="7" spans="2:51" ht="15.75" customHeight="1">
      <c r="B7" s="28"/>
      <c r="C7" s="49"/>
      <c r="D7" s="28"/>
      <c r="E7" s="28"/>
      <c r="F7" s="28"/>
      <c r="G7" s="28"/>
      <c r="H7" s="35"/>
      <c r="I7" s="28"/>
      <c r="J7" s="45"/>
      <c r="K7" s="29"/>
      <c r="L7" s="28"/>
      <c r="M7" s="63" t="s">
        <v>329</v>
      </c>
      <c r="N7" s="63"/>
      <c r="Q7" s="40">
        <f t="shared" ref="Q7:Q10" si="4">SUM(Q$13:Q$102)</f>
        <v>26</v>
      </c>
      <c r="R7" s="40">
        <f t="shared" si="0"/>
        <v>26</v>
      </c>
      <c r="S7" s="40">
        <f t="shared" si="0"/>
        <v>26</v>
      </c>
      <c r="T7" s="40">
        <f t="shared" si="0"/>
        <v>30</v>
      </c>
      <c r="U7" s="40">
        <f t="shared" si="0"/>
        <v>26</v>
      </c>
      <c r="V7" s="40">
        <f t="shared" si="0"/>
        <v>26</v>
      </c>
      <c r="X7" s="42">
        <f>S7</f>
        <v>26</v>
      </c>
      <c r="Z7" s="40">
        <f t="shared" ref="Z7:Z10" si="5">SUM(Z$13:Z$102)</f>
        <v>0</v>
      </c>
      <c r="AA7" s="40">
        <f t="shared" si="1"/>
        <v>4</v>
      </c>
      <c r="AB7" s="40">
        <f t="shared" si="1"/>
        <v>2</v>
      </c>
      <c r="AC7" s="40">
        <f t="shared" si="1"/>
        <v>0</v>
      </c>
      <c r="AD7" s="40">
        <f t="shared" si="1"/>
        <v>2</v>
      </c>
      <c r="AE7" s="40">
        <f t="shared" si="1"/>
        <v>0</v>
      </c>
      <c r="AG7" s="42">
        <f>AB7</f>
        <v>2</v>
      </c>
      <c r="AI7" s="40">
        <f t="shared" ref="AI7:AI10" si="6">SUM(AI$13:AI$102)</f>
        <v>13</v>
      </c>
      <c r="AJ7" s="40">
        <f t="shared" si="2"/>
        <v>11</v>
      </c>
      <c r="AK7" s="40">
        <f t="shared" si="2"/>
        <v>14</v>
      </c>
      <c r="AL7" s="40">
        <f t="shared" si="2"/>
        <v>11</v>
      </c>
      <c r="AM7" s="40">
        <f t="shared" si="2"/>
        <v>15</v>
      </c>
      <c r="AN7" s="40">
        <f t="shared" si="2"/>
        <v>16</v>
      </c>
      <c r="AP7" s="42">
        <f>AK7</f>
        <v>14</v>
      </c>
      <c r="AR7" s="40">
        <f t="shared" ref="AR7:AR10" si="7">SUM(AR$13:AR$102)</f>
        <v>4</v>
      </c>
      <c r="AS7" s="40">
        <f t="shared" si="3"/>
        <v>0</v>
      </c>
      <c r="AT7" s="40">
        <f t="shared" si="3"/>
        <v>4</v>
      </c>
      <c r="AU7" s="40">
        <f t="shared" si="3"/>
        <v>2</v>
      </c>
      <c r="AV7" s="40">
        <f t="shared" si="3"/>
        <v>2</v>
      </c>
      <c r="AW7" s="40">
        <f t="shared" si="3"/>
        <v>4</v>
      </c>
      <c r="AY7" s="42">
        <f>AT7</f>
        <v>4</v>
      </c>
    </row>
    <row r="8" spans="2:51" ht="15.75" customHeight="1">
      <c r="B8" s="28"/>
      <c r="C8" s="49"/>
      <c r="D8" s="28"/>
      <c r="E8" s="28"/>
      <c r="F8" s="28"/>
      <c r="G8" s="28"/>
      <c r="H8" s="35"/>
      <c r="I8" s="28"/>
      <c r="J8" s="45"/>
      <c r="K8" s="29"/>
      <c r="L8" s="28"/>
      <c r="M8" s="63" t="s">
        <v>330</v>
      </c>
      <c r="N8" s="63"/>
      <c r="Q8" s="40">
        <f t="shared" si="4"/>
        <v>26</v>
      </c>
      <c r="R8" s="40">
        <f t="shared" si="0"/>
        <v>26</v>
      </c>
      <c r="S8" s="40">
        <f t="shared" si="0"/>
        <v>26</v>
      </c>
      <c r="T8" s="40">
        <f t="shared" si="0"/>
        <v>30</v>
      </c>
      <c r="U8" s="40">
        <f t="shared" si="0"/>
        <v>26</v>
      </c>
      <c r="V8" s="40">
        <f t="shared" si="0"/>
        <v>26</v>
      </c>
      <c r="X8" s="42">
        <f>T8</f>
        <v>30</v>
      </c>
      <c r="Z8" s="40">
        <f t="shared" si="5"/>
        <v>0</v>
      </c>
      <c r="AA8" s="40">
        <f t="shared" si="1"/>
        <v>4</v>
      </c>
      <c r="AB8" s="40">
        <f t="shared" si="1"/>
        <v>2</v>
      </c>
      <c r="AC8" s="40">
        <f t="shared" si="1"/>
        <v>0</v>
      </c>
      <c r="AD8" s="40">
        <f t="shared" si="1"/>
        <v>2</v>
      </c>
      <c r="AE8" s="40">
        <f t="shared" si="1"/>
        <v>0</v>
      </c>
      <c r="AG8" s="42">
        <f>AC8</f>
        <v>0</v>
      </c>
      <c r="AI8" s="40">
        <f t="shared" si="6"/>
        <v>13</v>
      </c>
      <c r="AJ8" s="40">
        <f t="shared" si="2"/>
        <v>11</v>
      </c>
      <c r="AK8" s="40">
        <f t="shared" si="2"/>
        <v>14</v>
      </c>
      <c r="AL8" s="40">
        <f t="shared" si="2"/>
        <v>11</v>
      </c>
      <c r="AM8" s="40">
        <f t="shared" si="2"/>
        <v>15</v>
      </c>
      <c r="AN8" s="40">
        <f t="shared" si="2"/>
        <v>16</v>
      </c>
      <c r="AP8" s="42">
        <f>AL8</f>
        <v>11</v>
      </c>
      <c r="AR8" s="40">
        <f t="shared" si="7"/>
        <v>4</v>
      </c>
      <c r="AS8" s="40">
        <f t="shared" si="3"/>
        <v>0</v>
      </c>
      <c r="AT8" s="40">
        <f t="shared" si="3"/>
        <v>4</v>
      </c>
      <c r="AU8" s="40">
        <f t="shared" si="3"/>
        <v>2</v>
      </c>
      <c r="AV8" s="40">
        <f t="shared" si="3"/>
        <v>2</v>
      </c>
      <c r="AW8" s="40">
        <f t="shared" si="3"/>
        <v>4</v>
      </c>
      <c r="AY8" s="42">
        <f>AU8</f>
        <v>2</v>
      </c>
    </row>
    <row r="9" spans="2:51" ht="15.75" customHeight="1">
      <c r="B9" s="28"/>
      <c r="C9" s="49"/>
      <c r="D9" s="28"/>
      <c r="E9" s="28"/>
      <c r="F9" s="28"/>
      <c r="G9" s="28"/>
      <c r="H9" s="35"/>
      <c r="I9" s="28"/>
      <c r="J9" s="45"/>
      <c r="K9" s="29"/>
      <c r="L9" s="28"/>
      <c r="M9" s="63" t="s">
        <v>53</v>
      </c>
      <c r="N9" s="63"/>
      <c r="Q9" s="40">
        <f t="shared" si="4"/>
        <v>26</v>
      </c>
      <c r="R9" s="40">
        <f t="shared" si="0"/>
        <v>26</v>
      </c>
      <c r="S9" s="40">
        <f t="shared" si="0"/>
        <v>26</v>
      </c>
      <c r="T9" s="40">
        <f t="shared" si="0"/>
        <v>30</v>
      </c>
      <c r="U9" s="40">
        <f t="shared" si="0"/>
        <v>26</v>
      </c>
      <c r="V9" s="40">
        <f t="shared" si="0"/>
        <v>26</v>
      </c>
      <c r="X9" s="42">
        <f>U9</f>
        <v>26</v>
      </c>
      <c r="Z9" s="40">
        <f t="shared" si="5"/>
        <v>0</v>
      </c>
      <c r="AA9" s="40">
        <f t="shared" si="1"/>
        <v>4</v>
      </c>
      <c r="AB9" s="40">
        <f t="shared" si="1"/>
        <v>2</v>
      </c>
      <c r="AC9" s="40">
        <f t="shared" si="1"/>
        <v>0</v>
      </c>
      <c r="AD9" s="40">
        <f t="shared" si="1"/>
        <v>2</v>
      </c>
      <c r="AE9" s="40">
        <f t="shared" si="1"/>
        <v>0</v>
      </c>
      <c r="AG9" s="42">
        <f>AD9</f>
        <v>2</v>
      </c>
      <c r="AI9" s="40">
        <f t="shared" si="6"/>
        <v>13</v>
      </c>
      <c r="AJ9" s="40">
        <f t="shared" si="2"/>
        <v>11</v>
      </c>
      <c r="AK9" s="40">
        <f t="shared" si="2"/>
        <v>14</v>
      </c>
      <c r="AL9" s="40">
        <f t="shared" si="2"/>
        <v>11</v>
      </c>
      <c r="AM9" s="40">
        <f t="shared" si="2"/>
        <v>15</v>
      </c>
      <c r="AN9" s="40">
        <f t="shared" si="2"/>
        <v>16</v>
      </c>
      <c r="AP9" s="42">
        <f>AM9</f>
        <v>15</v>
      </c>
      <c r="AR9" s="40">
        <f t="shared" si="7"/>
        <v>4</v>
      </c>
      <c r="AS9" s="40">
        <f t="shared" si="3"/>
        <v>0</v>
      </c>
      <c r="AT9" s="40">
        <f t="shared" si="3"/>
        <v>4</v>
      </c>
      <c r="AU9" s="40">
        <f t="shared" si="3"/>
        <v>2</v>
      </c>
      <c r="AV9" s="40">
        <f t="shared" si="3"/>
        <v>2</v>
      </c>
      <c r="AW9" s="40">
        <f t="shared" si="3"/>
        <v>4</v>
      </c>
      <c r="AY9" s="42">
        <f>AV9</f>
        <v>2</v>
      </c>
    </row>
    <row r="10" spans="2:51" ht="15.75" customHeight="1">
      <c r="B10" s="28"/>
      <c r="C10" s="49"/>
      <c r="D10" s="28"/>
      <c r="E10" s="28"/>
      <c r="F10" s="28"/>
      <c r="G10" s="28"/>
      <c r="H10" s="35"/>
      <c r="I10" s="28"/>
      <c r="J10" s="45"/>
      <c r="K10" s="29"/>
      <c r="L10" s="28"/>
      <c r="M10" s="63" t="s">
        <v>36</v>
      </c>
      <c r="N10" s="63"/>
      <c r="Q10" s="40">
        <f t="shared" si="4"/>
        <v>26</v>
      </c>
      <c r="R10" s="40">
        <f t="shared" si="0"/>
        <v>26</v>
      </c>
      <c r="S10" s="40">
        <f t="shared" si="0"/>
        <v>26</v>
      </c>
      <c r="T10" s="40">
        <f t="shared" si="0"/>
        <v>30</v>
      </c>
      <c r="U10" s="40">
        <f t="shared" si="0"/>
        <v>26</v>
      </c>
      <c r="V10" s="40">
        <f t="shared" si="0"/>
        <v>26</v>
      </c>
      <c r="X10" s="42">
        <f>V10</f>
        <v>26</v>
      </c>
      <c r="Z10" s="40">
        <f t="shared" si="5"/>
        <v>0</v>
      </c>
      <c r="AA10" s="40">
        <f t="shared" si="1"/>
        <v>4</v>
      </c>
      <c r="AB10" s="40">
        <f t="shared" si="1"/>
        <v>2</v>
      </c>
      <c r="AC10" s="40">
        <f t="shared" si="1"/>
        <v>0</v>
      </c>
      <c r="AD10" s="40">
        <f t="shared" si="1"/>
        <v>2</v>
      </c>
      <c r="AE10" s="40">
        <f t="shared" si="1"/>
        <v>0</v>
      </c>
      <c r="AG10" s="42">
        <f>AE10</f>
        <v>0</v>
      </c>
      <c r="AI10" s="40">
        <f t="shared" si="6"/>
        <v>13</v>
      </c>
      <c r="AJ10" s="40">
        <f t="shared" si="2"/>
        <v>11</v>
      </c>
      <c r="AK10" s="40">
        <f t="shared" si="2"/>
        <v>14</v>
      </c>
      <c r="AL10" s="40">
        <f t="shared" si="2"/>
        <v>11</v>
      </c>
      <c r="AM10" s="40">
        <f t="shared" si="2"/>
        <v>15</v>
      </c>
      <c r="AN10" s="40">
        <f t="shared" si="2"/>
        <v>16</v>
      </c>
      <c r="AP10" s="42">
        <f>AN10</f>
        <v>16</v>
      </c>
      <c r="AR10" s="40">
        <f t="shared" si="7"/>
        <v>4</v>
      </c>
      <c r="AS10" s="40">
        <f t="shared" si="3"/>
        <v>0</v>
      </c>
      <c r="AT10" s="40">
        <f t="shared" si="3"/>
        <v>4</v>
      </c>
      <c r="AU10" s="40">
        <f t="shared" si="3"/>
        <v>2</v>
      </c>
      <c r="AV10" s="40">
        <f t="shared" si="3"/>
        <v>2</v>
      </c>
      <c r="AW10" s="40">
        <f t="shared" si="3"/>
        <v>4</v>
      </c>
      <c r="AY10" s="42">
        <f>AW10</f>
        <v>4</v>
      </c>
    </row>
    <row r="11" spans="2:51" ht="7.5" customHeight="1">
      <c r="B11" s="28"/>
      <c r="C11" s="49"/>
      <c r="D11" s="28"/>
      <c r="E11" s="28"/>
      <c r="F11" s="28"/>
      <c r="G11" s="28"/>
      <c r="H11" s="35"/>
      <c r="I11" s="28"/>
      <c r="J11" s="45"/>
      <c r="K11" s="29"/>
      <c r="L11" s="28"/>
      <c r="M11" s="28"/>
      <c r="N11" s="28"/>
      <c r="Q11" s="40"/>
      <c r="R11" s="40"/>
      <c r="S11" s="40"/>
      <c r="T11" s="40"/>
      <c r="U11" s="40"/>
      <c r="V11" s="40"/>
      <c r="X11" s="25"/>
      <c r="Z11" s="40"/>
      <c r="AA11" s="40"/>
      <c r="AB11" s="40"/>
      <c r="AC11" s="40"/>
      <c r="AD11" s="40"/>
      <c r="AE11" s="40"/>
      <c r="AG11" s="24"/>
      <c r="AI11" s="40"/>
      <c r="AJ11" s="40"/>
      <c r="AK11" s="40"/>
      <c r="AL11" s="40"/>
      <c r="AM11" s="40"/>
      <c r="AN11" s="40"/>
      <c r="AP11" s="25"/>
      <c r="AR11" s="40"/>
      <c r="AS11" s="40"/>
      <c r="AT11" s="40"/>
      <c r="AU11" s="40"/>
      <c r="AV11" s="40"/>
      <c r="AW11" s="40"/>
      <c r="AY11" s="25"/>
    </row>
    <row r="12" spans="2:51" ht="105.75" customHeight="1" thickBot="1">
      <c r="B12" s="22" t="s">
        <v>31</v>
      </c>
      <c r="C12" s="52" t="s">
        <v>369</v>
      </c>
      <c r="D12" s="22" t="s">
        <v>327</v>
      </c>
      <c r="E12" s="22" t="s">
        <v>328</v>
      </c>
      <c r="F12" s="22" t="s">
        <v>318</v>
      </c>
      <c r="G12" s="22"/>
      <c r="H12" s="37"/>
      <c r="I12" s="22" t="s">
        <v>319</v>
      </c>
      <c r="J12" s="47"/>
      <c r="K12" s="22"/>
      <c r="L12" s="22" t="s">
        <v>32</v>
      </c>
      <c r="M12" s="22" t="s">
        <v>33</v>
      </c>
      <c r="N12" s="22" t="s">
        <v>320</v>
      </c>
      <c r="O12" t="s">
        <v>34</v>
      </c>
      <c r="Q12" s="40"/>
      <c r="R12" s="40"/>
      <c r="S12" s="40"/>
      <c r="T12" s="40"/>
      <c r="U12" s="40"/>
      <c r="V12" s="40"/>
      <c r="X12" s="20" t="s">
        <v>321</v>
      </c>
      <c r="Z12" s="40"/>
      <c r="AA12" s="40"/>
      <c r="AB12" s="40"/>
      <c r="AC12" s="40"/>
      <c r="AD12" s="40"/>
      <c r="AE12" s="40"/>
      <c r="AG12" s="21" t="s">
        <v>322</v>
      </c>
      <c r="AI12" s="40"/>
      <c r="AJ12" s="40"/>
      <c r="AK12" s="40"/>
      <c r="AL12" s="40"/>
      <c r="AM12" s="40"/>
      <c r="AN12" s="40"/>
      <c r="AP12" s="20" t="s">
        <v>323</v>
      </c>
      <c r="AR12" s="40"/>
      <c r="AS12" s="40"/>
      <c r="AT12" s="40"/>
      <c r="AU12" s="40"/>
      <c r="AV12" s="40"/>
      <c r="AW12" s="40"/>
      <c r="AY12" s="20" t="s">
        <v>356</v>
      </c>
    </row>
    <row r="13" spans="2:51" ht="14.25" customHeight="1">
      <c r="B13" s="44" t="s">
        <v>35</v>
      </c>
      <c r="C13" s="57"/>
      <c r="D13" s="44">
        <v>43</v>
      </c>
      <c r="E13" s="44">
        <v>43</v>
      </c>
      <c r="F13" s="44" t="s">
        <v>36</v>
      </c>
      <c r="G13" s="44" t="s">
        <v>37</v>
      </c>
      <c r="H13" s="53">
        <f>IF(ISERR(VALUE(G13)),0,VALUE(G13))</f>
        <v>4</v>
      </c>
      <c r="I13" s="44" t="s">
        <v>36</v>
      </c>
      <c r="J13" s="54" t="s">
        <v>37</v>
      </c>
      <c r="K13" s="53">
        <f>IF(ISERR(VALUE(J13)),0,VALUE(J13))</f>
        <v>4</v>
      </c>
      <c r="L13" s="44" t="s">
        <v>38</v>
      </c>
      <c r="M13" s="44" t="s">
        <v>39</v>
      </c>
      <c r="N13" s="17" t="s">
        <v>320</v>
      </c>
      <c r="O13" t="s">
        <v>40</v>
      </c>
      <c r="Q13" s="40">
        <f t="shared" ref="Q13:V22" si="8">IF(AND($X13="x",$F13=Q$1),$H13,0)</f>
        <v>0</v>
      </c>
      <c r="R13" s="40">
        <f t="shared" si="8"/>
        <v>0</v>
      </c>
      <c r="S13" s="40">
        <f t="shared" si="8"/>
        <v>0</v>
      </c>
      <c r="T13" s="40">
        <f t="shared" si="8"/>
        <v>0</v>
      </c>
      <c r="U13" s="40">
        <f t="shared" si="8"/>
        <v>0</v>
      </c>
      <c r="V13" s="40">
        <f t="shared" si="8"/>
        <v>4</v>
      </c>
      <c r="X13" s="19" t="s">
        <v>326</v>
      </c>
      <c r="Z13" s="40">
        <f>IF(AND($AG13="x",$F13=Z$1),$H13,0)</f>
        <v>0</v>
      </c>
      <c r="AA13" s="40">
        <f t="shared" ref="AA13:AE28" si="9">IF(AND($AG13="x",$F13=AA$1),$H13,0)</f>
        <v>0</v>
      </c>
      <c r="AB13" s="40">
        <f t="shared" si="9"/>
        <v>0</v>
      </c>
      <c r="AC13" s="40">
        <f t="shared" si="9"/>
        <v>0</v>
      </c>
      <c r="AD13" s="40">
        <f t="shared" si="9"/>
        <v>0</v>
      </c>
      <c r="AE13" s="40">
        <f t="shared" si="9"/>
        <v>0</v>
      </c>
      <c r="AG13" s="19"/>
      <c r="AI13" s="40">
        <f>IF(AND($AP13="x",$I13=AI$1),$K13,0)</f>
        <v>0</v>
      </c>
      <c r="AJ13" s="40">
        <f t="shared" ref="AJ13:AN28" si="10">IF(AND($AP13="x",$I13=AJ$1),$K13,0)</f>
        <v>0</v>
      </c>
      <c r="AK13" s="40">
        <f t="shared" si="10"/>
        <v>0</v>
      </c>
      <c r="AL13" s="40">
        <f t="shared" si="10"/>
        <v>0</v>
      </c>
      <c r="AM13" s="40">
        <f t="shared" si="10"/>
        <v>0</v>
      </c>
      <c r="AN13" s="40">
        <f t="shared" si="10"/>
        <v>4</v>
      </c>
      <c r="AP13" s="19" t="s">
        <v>326</v>
      </c>
      <c r="AR13" s="40">
        <f>IF(AND($AY13="x",$I13=AR$1),$K13,0)</f>
        <v>0</v>
      </c>
      <c r="AS13" s="40">
        <f t="shared" ref="AS13:AW28" si="11">IF(AND($AY13="x",$I13=AS$1),$K13,0)</f>
        <v>0</v>
      </c>
      <c r="AT13" s="40">
        <f t="shared" si="11"/>
        <v>0</v>
      </c>
      <c r="AU13" s="40">
        <f t="shared" si="11"/>
        <v>0</v>
      </c>
      <c r="AV13" s="40">
        <f t="shared" si="11"/>
        <v>0</v>
      </c>
      <c r="AW13" s="40">
        <f t="shared" si="11"/>
        <v>0</v>
      </c>
      <c r="AY13" s="19"/>
    </row>
    <row r="14" spans="2:51" ht="14.25" customHeight="1">
      <c r="B14" s="44" t="s">
        <v>35</v>
      </c>
      <c r="C14" s="57"/>
      <c r="D14" s="44">
        <v>45</v>
      </c>
      <c r="E14" s="44"/>
      <c r="F14" s="44" t="s">
        <v>41</v>
      </c>
      <c r="G14" s="44" t="s">
        <v>42</v>
      </c>
      <c r="H14" s="53">
        <f t="shared" ref="H14:H77" si="12">IF(ISERR(VALUE(G14)),0,VALUE(G14))</f>
        <v>3</v>
      </c>
      <c r="I14" s="44" t="s">
        <v>41</v>
      </c>
      <c r="J14" s="54" t="s">
        <v>42</v>
      </c>
      <c r="K14" s="53">
        <f t="shared" ref="K14:K77" si="13">IF(ISERR(VALUE(J14)),0,VALUE(J14))</f>
        <v>3</v>
      </c>
      <c r="L14" s="44" t="s">
        <v>43</v>
      </c>
      <c r="M14" s="44" t="s">
        <v>44</v>
      </c>
      <c r="N14" s="17" t="s">
        <v>320</v>
      </c>
      <c r="O14" t="s">
        <v>45</v>
      </c>
      <c r="Q14" s="40">
        <f t="shared" si="8"/>
        <v>3</v>
      </c>
      <c r="R14" s="40">
        <f t="shared" si="8"/>
        <v>0</v>
      </c>
      <c r="S14" s="40">
        <f t="shared" si="8"/>
        <v>0</v>
      </c>
      <c r="T14" s="40">
        <f t="shared" si="8"/>
        <v>0</v>
      </c>
      <c r="U14" s="40">
        <f t="shared" si="8"/>
        <v>0</v>
      </c>
      <c r="V14" s="40">
        <f t="shared" si="8"/>
        <v>0</v>
      </c>
      <c r="X14" s="18" t="s">
        <v>326</v>
      </c>
      <c r="Z14" s="40">
        <f t="shared" ref="Z14:AD77" si="14">IF(AND($AG14="x",$F14=Z$1),$H14,0)</f>
        <v>0</v>
      </c>
      <c r="AA14" s="40">
        <f t="shared" si="9"/>
        <v>0</v>
      </c>
      <c r="AB14" s="40">
        <f t="shared" si="9"/>
        <v>0</v>
      </c>
      <c r="AC14" s="40">
        <f t="shared" si="9"/>
        <v>0</v>
      </c>
      <c r="AD14" s="40">
        <f t="shared" si="9"/>
        <v>0</v>
      </c>
      <c r="AE14" s="40">
        <f t="shared" si="9"/>
        <v>0</v>
      </c>
      <c r="AG14" s="18"/>
      <c r="AI14" s="40">
        <f t="shared" ref="AI14:AM77" si="15">IF(AND($AP14="x",$I14=AI$1),$K14,0)</f>
        <v>0</v>
      </c>
      <c r="AJ14" s="40">
        <f t="shared" si="10"/>
        <v>0</v>
      </c>
      <c r="AK14" s="40">
        <f t="shared" si="10"/>
        <v>0</v>
      </c>
      <c r="AL14" s="40">
        <f t="shared" si="10"/>
        <v>0</v>
      </c>
      <c r="AM14" s="40">
        <f t="shared" si="10"/>
        <v>0</v>
      </c>
      <c r="AN14" s="40">
        <f t="shared" si="10"/>
        <v>0</v>
      </c>
      <c r="AP14" s="18"/>
      <c r="AR14" s="40">
        <f t="shared" ref="AR14:AV77" si="16">IF(AND($AY14="x",$I14=AR$1),$K14,0)</f>
        <v>0</v>
      </c>
      <c r="AS14" s="40">
        <f t="shared" si="11"/>
        <v>0</v>
      </c>
      <c r="AT14" s="40">
        <f t="shared" si="11"/>
        <v>0</v>
      </c>
      <c r="AU14" s="40">
        <f t="shared" si="11"/>
        <v>0</v>
      </c>
      <c r="AV14" s="40">
        <f t="shared" si="11"/>
        <v>0</v>
      </c>
      <c r="AW14" s="40">
        <f t="shared" si="11"/>
        <v>0</v>
      </c>
      <c r="AY14" s="18"/>
    </row>
    <row r="15" spans="2:51">
      <c r="B15" s="44" t="s">
        <v>35</v>
      </c>
      <c r="C15" s="57"/>
      <c r="D15" s="44">
        <v>47</v>
      </c>
      <c r="E15" s="44"/>
      <c r="F15" s="44" t="s">
        <v>46</v>
      </c>
      <c r="G15" s="44" t="s">
        <v>42</v>
      </c>
      <c r="H15" s="53">
        <f t="shared" si="12"/>
        <v>3</v>
      </c>
      <c r="I15" s="44" t="s">
        <v>46</v>
      </c>
      <c r="J15" s="54" t="s">
        <v>42</v>
      </c>
      <c r="K15" s="53">
        <f t="shared" si="13"/>
        <v>3</v>
      </c>
      <c r="L15" s="44" t="s">
        <v>47</v>
      </c>
      <c r="M15" s="44" t="s">
        <v>48</v>
      </c>
      <c r="N15" s="17" t="s">
        <v>320</v>
      </c>
      <c r="O15" t="s">
        <v>49</v>
      </c>
      <c r="Q15" s="40">
        <f t="shared" si="8"/>
        <v>0</v>
      </c>
      <c r="R15" s="40">
        <f t="shared" si="8"/>
        <v>3</v>
      </c>
      <c r="S15" s="40">
        <f t="shared" si="8"/>
        <v>0</v>
      </c>
      <c r="T15" s="40">
        <f t="shared" si="8"/>
        <v>0</v>
      </c>
      <c r="U15" s="40">
        <f t="shared" si="8"/>
        <v>0</v>
      </c>
      <c r="V15" s="40">
        <f t="shared" si="8"/>
        <v>0</v>
      </c>
      <c r="X15" s="18" t="s">
        <v>326</v>
      </c>
      <c r="Z15" s="40">
        <f t="shared" si="14"/>
        <v>0</v>
      </c>
      <c r="AA15" s="40">
        <f t="shared" si="9"/>
        <v>0</v>
      </c>
      <c r="AB15" s="40">
        <f t="shared" si="9"/>
        <v>0</v>
      </c>
      <c r="AC15" s="40">
        <f t="shared" si="9"/>
        <v>0</v>
      </c>
      <c r="AD15" s="40">
        <f t="shared" si="9"/>
        <v>0</v>
      </c>
      <c r="AE15" s="40">
        <f t="shared" si="9"/>
        <v>0</v>
      </c>
      <c r="AG15" s="18"/>
      <c r="AI15" s="40">
        <f t="shared" si="15"/>
        <v>0</v>
      </c>
      <c r="AJ15" s="40">
        <f t="shared" si="10"/>
        <v>0</v>
      </c>
      <c r="AK15" s="40">
        <f t="shared" si="10"/>
        <v>0</v>
      </c>
      <c r="AL15" s="40">
        <f t="shared" si="10"/>
        <v>0</v>
      </c>
      <c r="AM15" s="40">
        <f t="shared" si="10"/>
        <v>0</v>
      </c>
      <c r="AN15" s="40">
        <f t="shared" si="10"/>
        <v>0</v>
      </c>
      <c r="AP15" s="18"/>
      <c r="AR15" s="40">
        <f t="shared" si="16"/>
        <v>0</v>
      </c>
      <c r="AS15" s="40">
        <f t="shared" si="11"/>
        <v>0</v>
      </c>
      <c r="AT15" s="40">
        <f t="shared" si="11"/>
        <v>0</v>
      </c>
      <c r="AU15" s="40">
        <f t="shared" si="11"/>
        <v>0</v>
      </c>
      <c r="AV15" s="40">
        <f t="shared" si="11"/>
        <v>0</v>
      </c>
      <c r="AW15" s="40">
        <f t="shared" si="11"/>
        <v>0</v>
      </c>
      <c r="AY15" s="18"/>
    </row>
    <row r="16" spans="2:51">
      <c r="B16" s="44" t="s">
        <v>35</v>
      </c>
      <c r="C16" s="57"/>
      <c r="D16" s="44">
        <v>46</v>
      </c>
      <c r="E16" s="44"/>
      <c r="F16" s="44" t="s">
        <v>329</v>
      </c>
      <c r="G16" s="44" t="s">
        <v>37</v>
      </c>
      <c r="H16" s="53">
        <f t="shared" si="12"/>
        <v>4</v>
      </c>
      <c r="I16" s="44" t="s">
        <v>329</v>
      </c>
      <c r="J16" s="54" t="s">
        <v>37</v>
      </c>
      <c r="K16" s="53">
        <f t="shared" si="13"/>
        <v>4</v>
      </c>
      <c r="L16" s="44" t="s">
        <v>50</v>
      </c>
      <c r="M16" s="44" t="s">
        <v>51</v>
      </c>
      <c r="N16" s="17" t="s">
        <v>320</v>
      </c>
      <c r="O16" t="s">
        <v>52</v>
      </c>
      <c r="Q16" s="40">
        <f t="shared" si="8"/>
        <v>0</v>
      </c>
      <c r="R16" s="40">
        <f t="shared" si="8"/>
        <v>0</v>
      </c>
      <c r="S16" s="40">
        <f t="shared" si="8"/>
        <v>4</v>
      </c>
      <c r="T16" s="40">
        <f t="shared" si="8"/>
        <v>0</v>
      </c>
      <c r="U16" s="40">
        <f t="shared" si="8"/>
        <v>0</v>
      </c>
      <c r="V16" s="40">
        <f t="shared" si="8"/>
        <v>0</v>
      </c>
      <c r="X16" s="18" t="s">
        <v>326</v>
      </c>
      <c r="Z16" s="40">
        <f t="shared" si="14"/>
        <v>0</v>
      </c>
      <c r="AA16" s="40">
        <f t="shared" si="9"/>
        <v>0</v>
      </c>
      <c r="AB16" s="40">
        <f t="shared" si="9"/>
        <v>0</v>
      </c>
      <c r="AC16" s="40">
        <f t="shared" si="9"/>
        <v>0</v>
      </c>
      <c r="AD16" s="40">
        <f t="shared" si="9"/>
        <v>0</v>
      </c>
      <c r="AE16" s="40">
        <f t="shared" si="9"/>
        <v>0</v>
      </c>
      <c r="AG16" s="18"/>
      <c r="AI16" s="40">
        <f t="shared" si="15"/>
        <v>0</v>
      </c>
      <c r="AJ16" s="40">
        <f t="shared" si="10"/>
        <v>0</v>
      </c>
      <c r="AK16" s="40">
        <f t="shared" si="10"/>
        <v>0</v>
      </c>
      <c r="AL16" s="40">
        <f t="shared" si="10"/>
        <v>0</v>
      </c>
      <c r="AM16" s="40">
        <f t="shared" si="10"/>
        <v>0</v>
      </c>
      <c r="AN16" s="40">
        <f t="shared" si="10"/>
        <v>0</v>
      </c>
      <c r="AP16" s="18"/>
      <c r="AR16" s="40">
        <f t="shared" si="16"/>
        <v>0</v>
      </c>
      <c r="AS16" s="40">
        <f t="shared" si="11"/>
        <v>0</v>
      </c>
      <c r="AT16" s="40">
        <f t="shared" si="11"/>
        <v>0</v>
      </c>
      <c r="AU16" s="40">
        <f t="shared" si="11"/>
        <v>0</v>
      </c>
      <c r="AV16" s="40">
        <f t="shared" si="11"/>
        <v>0</v>
      </c>
      <c r="AW16" s="40">
        <f t="shared" si="11"/>
        <v>0</v>
      </c>
      <c r="AY16" s="18"/>
    </row>
    <row r="17" spans="2:52">
      <c r="B17" s="44" t="s">
        <v>35</v>
      </c>
      <c r="C17" s="57"/>
      <c r="D17" s="44">
        <v>44</v>
      </c>
      <c r="E17" s="44"/>
      <c r="F17" s="44" t="s">
        <v>53</v>
      </c>
      <c r="G17" s="44" t="s">
        <v>42</v>
      </c>
      <c r="H17" s="53">
        <f t="shared" si="12"/>
        <v>3</v>
      </c>
      <c r="I17" s="44" t="s">
        <v>53</v>
      </c>
      <c r="J17" s="54" t="s">
        <v>42</v>
      </c>
      <c r="K17" s="53">
        <f t="shared" si="13"/>
        <v>3</v>
      </c>
      <c r="L17" s="44" t="s">
        <v>54</v>
      </c>
      <c r="M17" s="44" t="s">
        <v>55</v>
      </c>
      <c r="N17" s="17" t="s">
        <v>320</v>
      </c>
      <c r="O17" t="s">
        <v>56</v>
      </c>
      <c r="Q17" s="40">
        <f t="shared" si="8"/>
        <v>0</v>
      </c>
      <c r="R17" s="40">
        <f t="shared" si="8"/>
        <v>0</v>
      </c>
      <c r="S17" s="40">
        <f t="shared" si="8"/>
        <v>0</v>
      </c>
      <c r="T17" s="40">
        <f t="shared" si="8"/>
        <v>0</v>
      </c>
      <c r="U17" s="40">
        <f t="shared" si="8"/>
        <v>3</v>
      </c>
      <c r="V17" s="40">
        <f t="shared" si="8"/>
        <v>0</v>
      </c>
      <c r="X17" s="18" t="s">
        <v>326</v>
      </c>
      <c r="Z17" s="40">
        <f t="shared" si="14"/>
        <v>0</v>
      </c>
      <c r="AA17" s="40">
        <f t="shared" si="9"/>
        <v>0</v>
      </c>
      <c r="AB17" s="40">
        <f t="shared" si="9"/>
        <v>0</v>
      </c>
      <c r="AC17" s="40">
        <f t="shared" si="9"/>
        <v>0</v>
      </c>
      <c r="AD17" s="40">
        <f t="shared" si="9"/>
        <v>0</v>
      </c>
      <c r="AE17" s="40">
        <f t="shared" si="9"/>
        <v>0</v>
      </c>
      <c r="AG17" s="18"/>
      <c r="AI17" s="40">
        <f t="shared" si="15"/>
        <v>0</v>
      </c>
      <c r="AJ17" s="40">
        <f t="shared" si="10"/>
        <v>0</v>
      </c>
      <c r="AK17" s="40">
        <f t="shared" si="10"/>
        <v>0</v>
      </c>
      <c r="AL17" s="40">
        <f t="shared" si="10"/>
        <v>0</v>
      </c>
      <c r="AM17" s="40">
        <f t="shared" si="10"/>
        <v>0</v>
      </c>
      <c r="AN17" s="40">
        <f t="shared" si="10"/>
        <v>0</v>
      </c>
      <c r="AP17" s="18"/>
      <c r="AR17" s="40">
        <f t="shared" si="16"/>
        <v>0</v>
      </c>
      <c r="AS17" s="40">
        <f t="shared" si="11"/>
        <v>0</v>
      </c>
      <c r="AT17" s="40">
        <f t="shared" si="11"/>
        <v>0</v>
      </c>
      <c r="AU17" s="40">
        <f t="shared" si="11"/>
        <v>0</v>
      </c>
      <c r="AV17" s="40">
        <f t="shared" si="11"/>
        <v>0</v>
      </c>
      <c r="AW17" s="40">
        <f t="shared" si="11"/>
        <v>0</v>
      </c>
      <c r="AY17" s="18"/>
    </row>
    <row r="18" spans="2:52">
      <c r="B18" s="44" t="s">
        <v>57</v>
      </c>
      <c r="C18" s="57" t="s">
        <v>370</v>
      </c>
      <c r="D18" s="44"/>
      <c r="E18" s="44">
        <v>31</v>
      </c>
      <c r="F18" s="44"/>
      <c r="G18" s="44"/>
      <c r="H18" s="53">
        <f t="shared" si="12"/>
        <v>0</v>
      </c>
      <c r="I18" s="44" t="s">
        <v>329</v>
      </c>
      <c r="J18" s="54" t="s">
        <v>58</v>
      </c>
      <c r="K18" s="53">
        <f t="shared" si="13"/>
        <v>2</v>
      </c>
      <c r="L18" s="44" t="s">
        <v>59</v>
      </c>
      <c r="M18" s="44" t="s">
        <v>60</v>
      </c>
      <c r="N18" s="17" t="s">
        <v>320</v>
      </c>
      <c r="O18" t="s">
        <v>61</v>
      </c>
      <c r="Q18" s="40">
        <f t="shared" si="8"/>
        <v>0</v>
      </c>
      <c r="R18" s="40">
        <f t="shared" si="8"/>
        <v>0</v>
      </c>
      <c r="S18" s="40">
        <f t="shared" si="8"/>
        <v>0</v>
      </c>
      <c r="T18" s="40">
        <f t="shared" si="8"/>
        <v>0</v>
      </c>
      <c r="U18" s="40">
        <f t="shared" si="8"/>
        <v>0</v>
      </c>
      <c r="V18" s="40">
        <f t="shared" si="8"/>
        <v>0</v>
      </c>
      <c r="X18" s="18"/>
      <c r="Z18" s="40">
        <f t="shared" si="14"/>
        <v>0</v>
      </c>
      <c r="AA18" s="40">
        <f t="shared" si="9"/>
        <v>0</v>
      </c>
      <c r="AB18" s="40">
        <f t="shared" si="9"/>
        <v>0</v>
      </c>
      <c r="AC18" s="40">
        <f t="shared" si="9"/>
        <v>0</v>
      </c>
      <c r="AD18" s="40">
        <f t="shared" si="9"/>
        <v>0</v>
      </c>
      <c r="AE18" s="40">
        <f t="shared" si="9"/>
        <v>0</v>
      </c>
      <c r="AG18" s="18"/>
      <c r="AI18" s="40">
        <f t="shared" si="15"/>
        <v>0</v>
      </c>
      <c r="AJ18" s="40">
        <f t="shared" si="10"/>
        <v>0</v>
      </c>
      <c r="AK18" s="40">
        <f t="shared" si="10"/>
        <v>2</v>
      </c>
      <c r="AL18" s="40">
        <f t="shared" si="10"/>
        <v>0</v>
      </c>
      <c r="AM18" s="40">
        <f t="shared" si="10"/>
        <v>0</v>
      </c>
      <c r="AN18" s="40">
        <f t="shared" si="10"/>
        <v>0</v>
      </c>
      <c r="AP18" s="18" t="s">
        <v>326</v>
      </c>
      <c r="AR18" s="40">
        <f t="shared" si="16"/>
        <v>0</v>
      </c>
      <c r="AS18" s="40">
        <f t="shared" si="11"/>
        <v>0</v>
      </c>
      <c r="AT18" s="40">
        <f t="shared" si="11"/>
        <v>2</v>
      </c>
      <c r="AU18" s="40">
        <f t="shared" si="11"/>
        <v>0</v>
      </c>
      <c r="AV18" s="40">
        <f t="shared" si="11"/>
        <v>0</v>
      </c>
      <c r="AW18" s="40">
        <f t="shared" si="11"/>
        <v>0</v>
      </c>
      <c r="AY18" s="18" t="s">
        <v>326</v>
      </c>
    </row>
    <row r="19" spans="2:52" ht="30">
      <c r="B19" s="44" t="s">
        <v>57</v>
      </c>
      <c r="C19" s="57" t="s">
        <v>374</v>
      </c>
      <c r="D19" s="44"/>
      <c r="E19" s="44">
        <v>28</v>
      </c>
      <c r="F19" s="44"/>
      <c r="G19" s="44"/>
      <c r="H19" s="53">
        <f t="shared" si="12"/>
        <v>0</v>
      </c>
      <c r="I19" s="44" t="s">
        <v>36</v>
      </c>
      <c r="J19" s="54" t="s">
        <v>58</v>
      </c>
      <c r="K19" s="53">
        <f t="shared" si="13"/>
        <v>2</v>
      </c>
      <c r="L19" s="44" t="s">
        <v>62</v>
      </c>
      <c r="M19" s="44" t="s">
        <v>63</v>
      </c>
      <c r="N19" s="17" t="s">
        <v>320</v>
      </c>
      <c r="O19" t="s">
        <v>64</v>
      </c>
      <c r="Q19" s="40">
        <f t="shared" si="8"/>
        <v>0</v>
      </c>
      <c r="R19" s="40">
        <f t="shared" si="8"/>
        <v>0</v>
      </c>
      <c r="S19" s="40">
        <f t="shared" si="8"/>
        <v>0</v>
      </c>
      <c r="T19" s="40">
        <f t="shared" si="8"/>
        <v>0</v>
      </c>
      <c r="U19" s="40">
        <f t="shared" si="8"/>
        <v>0</v>
      </c>
      <c r="V19" s="40">
        <f t="shared" si="8"/>
        <v>0</v>
      </c>
      <c r="X19" s="18"/>
      <c r="Z19" s="40">
        <f t="shared" si="14"/>
        <v>0</v>
      </c>
      <c r="AA19" s="40">
        <f t="shared" si="9"/>
        <v>0</v>
      </c>
      <c r="AB19" s="40">
        <f t="shared" si="9"/>
        <v>0</v>
      </c>
      <c r="AC19" s="40">
        <f t="shared" si="9"/>
        <v>0</v>
      </c>
      <c r="AD19" s="40">
        <f t="shared" si="9"/>
        <v>0</v>
      </c>
      <c r="AE19" s="40">
        <f t="shared" si="9"/>
        <v>0</v>
      </c>
      <c r="AG19" s="18"/>
      <c r="AI19" s="40">
        <f t="shared" si="15"/>
        <v>0</v>
      </c>
      <c r="AJ19" s="40">
        <f t="shared" si="10"/>
        <v>0</v>
      </c>
      <c r="AK19" s="40">
        <f t="shared" si="10"/>
        <v>0</v>
      </c>
      <c r="AL19" s="40">
        <f t="shared" si="10"/>
        <v>0</v>
      </c>
      <c r="AM19" s="40">
        <f t="shared" si="10"/>
        <v>0</v>
      </c>
      <c r="AN19" s="40">
        <f t="shared" si="10"/>
        <v>2</v>
      </c>
      <c r="AP19" s="18" t="s">
        <v>326</v>
      </c>
      <c r="AR19" s="40">
        <f t="shared" si="16"/>
        <v>0</v>
      </c>
      <c r="AS19" s="40">
        <f t="shared" si="11"/>
        <v>0</v>
      </c>
      <c r="AT19" s="40">
        <f t="shared" si="11"/>
        <v>0</v>
      </c>
      <c r="AU19" s="40">
        <f t="shared" si="11"/>
        <v>0</v>
      </c>
      <c r="AV19" s="40">
        <f t="shared" si="11"/>
        <v>0</v>
      </c>
      <c r="AW19" s="40">
        <f t="shared" si="11"/>
        <v>2</v>
      </c>
      <c r="AY19" s="18" t="s">
        <v>326</v>
      </c>
    </row>
    <row r="20" spans="2:52">
      <c r="B20" s="44" t="s">
        <v>57</v>
      </c>
      <c r="C20" s="57"/>
      <c r="D20" s="44"/>
      <c r="E20" s="44">
        <v>32</v>
      </c>
      <c r="F20" s="44"/>
      <c r="G20" s="44"/>
      <c r="H20" s="53">
        <f t="shared" si="12"/>
        <v>0</v>
      </c>
      <c r="I20" s="44" t="s">
        <v>46</v>
      </c>
      <c r="J20" s="54" t="s">
        <v>58</v>
      </c>
      <c r="K20" s="53">
        <f t="shared" si="13"/>
        <v>2</v>
      </c>
      <c r="L20" s="44" t="s">
        <v>65</v>
      </c>
      <c r="M20" s="44" t="s">
        <v>66</v>
      </c>
      <c r="N20" s="17" t="s">
        <v>320</v>
      </c>
      <c r="O20" t="s">
        <v>67</v>
      </c>
      <c r="Q20" s="40">
        <f t="shared" si="8"/>
        <v>0</v>
      </c>
      <c r="R20" s="40">
        <f t="shared" si="8"/>
        <v>0</v>
      </c>
      <c r="S20" s="40">
        <f t="shared" si="8"/>
        <v>0</v>
      </c>
      <c r="T20" s="40">
        <f t="shared" si="8"/>
        <v>0</v>
      </c>
      <c r="U20" s="40">
        <f t="shared" si="8"/>
        <v>0</v>
      </c>
      <c r="V20" s="40">
        <f t="shared" si="8"/>
        <v>0</v>
      </c>
      <c r="X20" s="18"/>
      <c r="Z20" s="40">
        <f t="shared" si="14"/>
        <v>0</v>
      </c>
      <c r="AA20" s="40">
        <f t="shared" si="9"/>
        <v>0</v>
      </c>
      <c r="AB20" s="40">
        <f t="shared" si="9"/>
        <v>0</v>
      </c>
      <c r="AC20" s="40">
        <f t="shared" si="9"/>
        <v>0</v>
      </c>
      <c r="AD20" s="40">
        <f t="shared" si="9"/>
        <v>0</v>
      </c>
      <c r="AE20" s="40">
        <f t="shared" si="9"/>
        <v>0</v>
      </c>
      <c r="AG20" s="18"/>
      <c r="AI20" s="40">
        <f t="shared" si="15"/>
        <v>0</v>
      </c>
      <c r="AJ20" s="40">
        <f t="shared" si="10"/>
        <v>2</v>
      </c>
      <c r="AK20" s="40">
        <f t="shared" si="10"/>
        <v>0</v>
      </c>
      <c r="AL20" s="40">
        <f t="shared" si="10"/>
        <v>0</v>
      </c>
      <c r="AM20" s="40">
        <f t="shared" si="10"/>
        <v>0</v>
      </c>
      <c r="AN20" s="40">
        <f t="shared" si="10"/>
        <v>0</v>
      </c>
      <c r="AP20" s="18" t="s">
        <v>326</v>
      </c>
      <c r="AR20" s="40">
        <f t="shared" si="16"/>
        <v>0</v>
      </c>
      <c r="AS20" s="40">
        <f t="shared" si="11"/>
        <v>0</v>
      </c>
      <c r="AT20" s="40">
        <f t="shared" si="11"/>
        <v>0</v>
      </c>
      <c r="AU20" s="40">
        <f t="shared" si="11"/>
        <v>0</v>
      </c>
      <c r="AV20" s="40">
        <f t="shared" si="11"/>
        <v>0</v>
      </c>
      <c r="AW20" s="40">
        <f t="shared" si="11"/>
        <v>0</v>
      </c>
      <c r="AY20" s="18"/>
    </row>
    <row r="21" spans="2:52">
      <c r="B21" s="44" t="s">
        <v>57</v>
      </c>
      <c r="C21" s="57"/>
      <c r="D21" s="44"/>
      <c r="E21" s="44">
        <v>29</v>
      </c>
      <c r="F21" s="44"/>
      <c r="G21" s="44"/>
      <c r="H21" s="53">
        <f t="shared" si="12"/>
        <v>0</v>
      </c>
      <c r="I21" s="44" t="s">
        <v>330</v>
      </c>
      <c r="J21" s="54" t="s">
        <v>58</v>
      </c>
      <c r="K21" s="53">
        <f t="shared" si="13"/>
        <v>2</v>
      </c>
      <c r="L21" s="44" t="s">
        <v>68</v>
      </c>
      <c r="M21" s="44" t="s">
        <v>69</v>
      </c>
      <c r="N21" s="17" t="s">
        <v>320</v>
      </c>
      <c r="O21" t="s">
        <v>331</v>
      </c>
      <c r="Q21" s="40">
        <f t="shared" si="8"/>
        <v>0</v>
      </c>
      <c r="R21" s="40">
        <f t="shared" si="8"/>
        <v>0</v>
      </c>
      <c r="S21" s="40">
        <f t="shared" si="8"/>
        <v>0</v>
      </c>
      <c r="T21" s="40">
        <f t="shared" si="8"/>
        <v>0</v>
      </c>
      <c r="U21" s="40">
        <f t="shared" si="8"/>
        <v>0</v>
      </c>
      <c r="V21" s="40">
        <f t="shared" si="8"/>
        <v>0</v>
      </c>
      <c r="X21" s="18"/>
      <c r="Z21" s="40">
        <f t="shared" si="14"/>
        <v>0</v>
      </c>
      <c r="AA21" s="40">
        <f t="shared" si="9"/>
        <v>0</v>
      </c>
      <c r="AB21" s="40">
        <f t="shared" si="9"/>
        <v>0</v>
      </c>
      <c r="AC21" s="40">
        <f t="shared" si="9"/>
        <v>0</v>
      </c>
      <c r="AD21" s="40">
        <f t="shared" si="9"/>
        <v>0</v>
      </c>
      <c r="AE21" s="40">
        <f t="shared" si="9"/>
        <v>0</v>
      </c>
      <c r="AG21" s="18"/>
      <c r="AI21" s="40">
        <f t="shared" si="15"/>
        <v>0</v>
      </c>
      <c r="AJ21" s="40">
        <f t="shared" si="10"/>
        <v>0</v>
      </c>
      <c r="AK21" s="40">
        <f t="shared" si="10"/>
        <v>0</v>
      </c>
      <c r="AL21" s="40">
        <f t="shared" si="10"/>
        <v>2</v>
      </c>
      <c r="AM21" s="40">
        <f t="shared" si="10"/>
        <v>0</v>
      </c>
      <c r="AN21" s="40">
        <f t="shared" si="10"/>
        <v>0</v>
      </c>
      <c r="AP21" s="18" t="s">
        <v>326</v>
      </c>
      <c r="AR21" s="40">
        <f t="shared" si="16"/>
        <v>0</v>
      </c>
      <c r="AS21" s="40">
        <f t="shared" si="11"/>
        <v>0</v>
      </c>
      <c r="AT21" s="40">
        <f t="shared" si="11"/>
        <v>0</v>
      </c>
      <c r="AU21" s="40">
        <f t="shared" si="11"/>
        <v>0</v>
      </c>
      <c r="AV21" s="40">
        <f t="shared" si="11"/>
        <v>0</v>
      </c>
      <c r="AW21" s="40">
        <f t="shared" si="11"/>
        <v>0</v>
      </c>
      <c r="AY21" s="18"/>
    </row>
    <row r="22" spans="2:52">
      <c r="B22" s="44" t="s">
        <v>57</v>
      </c>
      <c r="C22" s="57"/>
      <c r="D22" s="44"/>
      <c r="E22" s="44">
        <v>30</v>
      </c>
      <c r="F22" s="44"/>
      <c r="G22" s="44"/>
      <c r="H22" s="53">
        <f t="shared" si="12"/>
        <v>0</v>
      </c>
      <c r="I22" s="44" t="s">
        <v>70</v>
      </c>
      <c r="J22" s="54" t="s">
        <v>71</v>
      </c>
      <c r="K22" s="53">
        <f t="shared" si="13"/>
        <v>0</v>
      </c>
      <c r="L22" s="44" t="s">
        <v>72</v>
      </c>
      <c r="M22" s="44" t="s">
        <v>73</v>
      </c>
      <c r="N22" s="17" t="s">
        <v>320</v>
      </c>
      <c r="O22" t="s">
        <v>74</v>
      </c>
      <c r="Q22" s="40">
        <f t="shared" si="8"/>
        <v>0</v>
      </c>
      <c r="R22" s="40">
        <f t="shared" si="8"/>
        <v>0</v>
      </c>
      <c r="S22" s="40">
        <f t="shared" si="8"/>
        <v>0</v>
      </c>
      <c r="T22" s="40">
        <f t="shared" si="8"/>
        <v>0</v>
      </c>
      <c r="U22" s="40">
        <f t="shared" si="8"/>
        <v>0</v>
      </c>
      <c r="V22" s="40">
        <f t="shared" si="8"/>
        <v>0</v>
      </c>
      <c r="X22" s="18"/>
      <c r="Z22" s="40">
        <f t="shared" si="14"/>
        <v>0</v>
      </c>
      <c r="AA22" s="40">
        <f t="shared" si="9"/>
        <v>0</v>
      </c>
      <c r="AB22" s="40">
        <f t="shared" si="9"/>
        <v>0</v>
      </c>
      <c r="AC22" s="40">
        <f t="shared" si="9"/>
        <v>0</v>
      </c>
      <c r="AD22" s="40">
        <f t="shared" si="9"/>
        <v>0</v>
      </c>
      <c r="AE22" s="40">
        <f t="shared" si="9"/>
        <v>0</v>
      </c>
      <c r="AG22" s="18"/>
      <c r="AI22" s="40">
        <f t="shared" si="15"/>
        <v>0</v>
      </c>
      <c r="AJ22" s="40">
        <f t="shared" si="10"/>
        <v>0</v>
      </c>
      <c r="AK22" s="40">
        <f t="shared" si="10"/>
        <v>0</v>
      </c>
      <c r="AL22" s="40">
        <f t="shared" si="10"/>
        <v>0</v>
      </c>
      <c r="AM22" s="40">
        <f t="shared" si="10"/>
        <v>0</v>
      </c>
      <c r="AN22" s="40">
        <f t="shared" si="10"/>
        <v>0</v>
      </c>
      <c r="AP22" s="18" t="s">
        <v>326</v>
      </c>
      <c r="AR22" s="40">
        <f t="shared" si="16"/>
        <v>0</v>
      </c>
      <c r="AS22" s="40">
        <f t="shared" si="11"/>
        <v>0</v>
      </c>
      <c r="AT22" s="40">
        <f t="shared" si="11"/>
        <v>0</v>
      </c>
      <c r="AU22" s="40">
        <f t="shared" si="11"/>
        <v>0</v>
      </c>
      <c r="AV22" s="40">
        <f t="shared" si="11"/>
        <v>0</v>
      </c>
      <c r="AW22" s="40">
        <f t="shared" si="11"/>
        <v>0</v>
      </c>
      <c r="AY22" s="18"/>
    </row>
    <row r="23" spans="2:52">
      <c r="B23" s="44" t="s">
        <v>57</v>
      </c>
      <c r="C23" s="57"/>
      <c r="D23" s="55"/>
      <c r="E23" s="44"/>
      <c r="F23" s="44" t="s">
        <v>36</v>
      </c>
      <c r="G23" s="44" t="s">
        <v>37</v>
      </c>
      <c r="H23" s="53">
        <f t="shared" si="12"/>
        <v>4</v>
      </c>
      <c r="I23" s="44"/>
      <c r="J23" s="54"/>
      <c r="K23" s="53">
        <f t="shared" si="13"/>
        <v>0</v>
      </c>
      <c r="L23" s="44" t="s">
        <v>65</v>
      </c>
      <c r="M23" s="44" t="s">
        <v>66</v>
      </c>
      <c r="N23" s="17" t="s">
        <v>320</v>
      </c>
      <c r="O23" t="s">
        <v>75</v>
      </c>
      <c r="Q23" s="40">
        <f t="shared" ref="Q23:V32" si="17">IF(AND($X23="x",$F23=Q$1),$H23,0)</f>
        <v>0</v>
      </c>
      <c r="R23" s="40">
        <f t="shared" si="17"/>
        <v>0</v>
      </c>
      <c r="S23" s="40">
        <f t="shared" si="17"/>
        <v>0</v>
      </c>
      <c r="T23" s="40">
        <f t="shared" si="17"/>
        <v>0</v>
      </c>
      <c r="U23" s="40">
        <f t="shared" si="17"/>
        <v>0</v>
      </c>
      <c r="V23" s="40">
        <f t="shared" si="17"/>
        <v>4</v>
      </c>
      <c r="X23" s="18" t="s">
        <v>326</v>
      </c>
      <c r="Z23" s="40">
        <f t="shared" si="14"/>
        <v>0</v>
      </c>
      <c r="AA23" s="40">
        <f t="shared" si="9"/>
        <v>0</v>
      </c>
      <c r="AB23" s="40">
        <f t="shared" si="9"/>
        <v>0</v>
      </c>
      <c r="AC23" s="40">
        <f t="shared" si="9"/>
        <v>0</v>
      </c>
      <c r="AD23" s="40">
        <f t="shared" si="9"/>
        <v>0</v>
      </c>
      <c r="AE23" s="40">
        <f t="shared" si="9"/>
        <v>0</v>
      </c>
      <c r="AG23" s="18"/>
      <c r="AI23" s="40">
        <f t="shared" si="15"/>
        <v>0</v>
      </c>
      <c r="AJ23" s="40">
        <f t="shared" si="10"/>
        <v>0</v>
      </c>
      <c r="AK23" s="40">
        <f t="shared" si="10"/>
        <v>0</v>
      </c>
      <c r="AL23" s="40">
        <f t="shared" si="10"/>
        <v>0</v>
      </c>
      <c r="AM23" s="40">
        <f t="shared" si="10"/>
        <v>0</v>
      </c>
      <c r="AN23" s="40">
        <f t="shared" si="10"/>
        <v>0</v>
      </c>
      <c r="AP23" s="18"/>
      <c r="AR23" s="40">
        <f t="shared" si="16"/>
        <v>0</v>
      </c>
      <c r="AS23" s="40">
        <f t="shared" si="11"/>
        <v>0</v>
      </c>
      <c r="AT23" s="40">
        <f t="shared" si="11"/>
        <v>0</v>
      </c>
      <c r="AU23" s="40">
        <f t="shared" si="11"/>
        <v>0</v>
      </c>
      <c r="AV23" s="40">
        <f t="shared" si="11"/>
        <v>0</v>
      </c>
      <c r="AW23" s="40">
        <f t="shared" si="11"/>
        <v>0</v>
      </c>
      <c r="AY23" s="18"/>
    </row>
    <row r="24" spans="2:52">
      <c r="B24" s="44" t="s">
        <v>57</v>
      </c>
      <c r="C24" s="57"/>
      <c r="D24" s="44">
        <v>56</v>
      </c>
      <c r="E24" s="44"/>
      <c r="F24" s="44" t="s">
        <v>330</v>
      </c>
      <c r="G24" s="44" t="s">
        <v>37</v>
      </c>
      <c r="H24" s="53">
        <f t="shared" si="12"/>
        <v>4</v>
      </c>
      <c r="I24" s="44"/>
      <c r="J24" s="54"/>
      <c r="K24" s="53">
        <f t="shared" si="13"/>
        <v>0</v>
      </c>
      <c r="L24" s="44" t="s">
        <v>62</v>
      </c>
      <c r="M24" s="44" t="s">
        <v>63</v>
      </c>
      <c r="N24" s="17" t="s">
        <v>320</v>
      </c>
      <c r="O24" t="s">
        <v>332</v>
      </c>
      <c r="Q24" s="40">
        <f t="shared" si="17"/>
        <v>0</v>
      </c>
      <c r="R24" s="40">
        <f t="shared" si="17"/>
        <v>0</v>
      </c>
      <c r="S24" s="40">
        <f t="shared" si="17"/>
        <v>0</v>
      </c>
      <c r="T24" s="40">
        <f t="shared" si="17"/>
        <v>4</v>
      </c>
      <c r="U24" s="40">
        <f t="shared" si="17"/>
        <v>0</v>
      </c>
      <c r="V24" s="40">
        <f t="shared" si="17"/>
        <v>0</v>
      </c>
      <c r="X24" s="18" t="s">
        <v>326</v>
      </c>
      <c r="Z24" s="40">
        <f t="shared" si="14"/>
        <v>0</v>
      </c>
      <c r="AA24" s="40">
        <f t="shared" si="9"/>
        <v>0</v>
      </c>
      <c r="AB24" s="40">
        <f t="shared" si="9"/>
        <v>0</v>
      </c>
      <c r="AC24" s="40">
        <f t="shared" si="9"/>
        <v>0</v>
      </c>
      <c r="AD24" s="40">
        <f t="shared" si="9"/>
        <v>0</v>
      </c>
      <c r="AE24" s="40">
        <f t="shared" si="9"/>
        <v>0</v>
      </c>
      <c r="AG24" s="18"/>
      <c r="AI24" s="40">
        <f t="shared" si="15"/>
        <v>0</v>
      </c>
      <c r="AJ24" s="40">
        <f t="shared" si="10"/>
        <v>0</v>
      </c>
      <c r="AK24" s="40">
        <f t="shared" si="10"/>
        <v>0</v>
      </c>
      <c r="AL24" s="40">
        <f t="shared" si="10"/>
        <v>0</v>
      </c>
      <c r="AM24" s="40">
        <f t="shared" si="10"/>
        <v>0</v>
      </c>
      <c r="AN24" s="40">
        <f t="shared" si="10"/>
        <v>0</v>
      </c>
      <c r="AP24" s="18"/>
      <c r="AR24" s="40">
        <f t="shared" si="16"/>
        <v>0</v>
      </c>
      <c r="AS24" s="40">
        <f t="shared" si="11"/>
        <v>0</v>
      </c>
      <c r="AT24" s="40">
        <f t="shared" si="11"/>
        <v>0</v>
      </c>
      <c r="AU24" s="40">
        <f t="shared" si="11"/>
        <v>0</v>
      </c>
      <c r="AV24" s="40">
        <f t="shared" si="11"/>
        <v>0</v>
      </c>
      <c r="AW24" s="40">
        <f t="shared" si="11"/>
        <v>0</v>
      </c>
      <c r="AY24" s="18"/>
    </row>
    <row r="25" spans="2:52">
      <c r="B25" s="44" t="s">
        <v>57</v>
      </c>
      <c r="C25" s="57"/>
      <c r="D25" s="44">
        <v>57</v>
      </c>
      <c r="E25" s="44"/>
      <c r="F25" s="44" t="s">
        <v>41</v>
      </c>
      <c r="G25" s="44" t="s">
        <v>37</v>
      </c>
      <c r="H25" s="53">
        <f t="shared" si="12"/>
        <v>4</v>
      </c>
      <c r="I25" s="44"/>
      <c r="J25" s="54"/>
      <c r="K25" s="53">
        <f t="shared" si="13"/>
        <v>0</v>
      </c>
      <c r="L25" s="44" t="s">
        <v>76</v>
      </c>
      <c r="M25" s="44" t="s">
        <v>77</v>
      </c>
      <c r="N25" s="17" t="s">
        <v>320</v>
      </c>
      <c r="O25" t="s">
        <v>78</v>
      </c>
      <c r="Q25" s="40">
        <f t="shared" si="17"/>
        <v>4</v>
      </c>
      <c r="R25" s="40">
        <f t="shared" si="17"/>
        <v>0</v>
      </c>
      <c r="S25" s="40">
        <f t="shared" si="17"/>
        <v>0</v>
      </c>
      <c r="T25" s="40">
        <f t="shared" si="17"/>
        <v>0</v>
      </c>
      <c r="U25" s="40">
        <f t="shared" si="17"/>
        <v>0</v>
      </c>
      <c r="V25" s="40">
        <f t="shared" si="17"/>
        <v>0</v>
      </c>
      <c r="X25" s="18" t="s">
        <v>326</v>
      </c>
      <c r="Z25" s="40">
        <f t="shared" si="14"/>
        <v>0</v>
      </c>
      <c r="AA25" s="40">
        <f t="shared" si="9"/>
        <v>0</v>
      </c>
      <c r="AB25" s="40">
        <f t="shared" si="9"/>
        <v>0</v>
      </c>
      <c r="AC25" s="40">
        <f t="shared" si="9"/>
        <v>0</v>
      </c>
      <c r="AD25" s="40">
        <f t="shared" si="9"/>
        <v>0</v>
      </c>
      <c r="AE25" s="40">
        <f t="shared" si="9"/>
        <v>0</v>
      </c>
      <c r="AG25" s="18"/>
      <c r="AI25" s="40">
        <f t="shared" si="15"/>
        <v>0</v>
      </c>
      <c r="AJ25" s="40">
        <f t="shared" si="10"/>
        <v>0</v>
      </c>
      <c r="AK25" s="40">
        <f t="shared" si="10"/>
        <v>0</v>
      </c>
      <c r="AL25" s="40">
        <f t="shared" si="10"/>
        <v>0</v>
      </c>
      <c r="AM25" s="40">
        <f t="shared" si="10"/>
        <v>0</v>
      </c>
      <c r="AN25" s="40">
        <f t="shared" si="10"/>
        <v>0</v>
      </c>
      <c r="AP25" s="18"/>
      <c r="AR25" s="40">
        <f t="shared" si="16"/>
        <v>0</v>
      </c>
      <c r="AS25" s="40">
        <f t="shared" si="11"/>
        <v>0</v>
      </c>
      <c r="AT25" s="40">
        <f t="shared" si="11"/>
        <v>0</v>
      </c>
      <c r="AU25" s="40">
        <f t="shared" si="11"/>
        <v>0</v>
      </c>
      <c r="AV25" s="40">
        <f t="shared" si="11"/>
        <v>0</v>
      </c>
      <c r="AW25" s="40">
        <f t="shared" si="11"/>
        <v>0</v>
      </c>
      <c r="AY25" s="18"/>
    </row>
    <row r="26" spans="2:52">
      <c r="B26" s="44" t="s">
        <v>57</v>
      </c>
      <c r="C26" s="57"/>
      <c r="D26" s="44">
        <v>54</v>
      </c>
      <c r="E26" s="44"/>
      <c r="F26" s="44" t="s">
        <v>53</v>
      </c>
      <c r="G26" s="44" t="s">
        <v>42</v>
      </c>
      <c r="H26" s="53">
        <f t="shared" si="12"/>
        <v>3</v>
      </c>
      <c r="I26" s="44"/>
      <c r="J26" s="54"/>
      <c r="K26" s="53">
        <f t="shared" si="13"/>
        <v>0</v>
      </c>
      <c r="L26" s="44" t="s">
        <v>79</v>
      </c>
      <c r="M26" s="44" t="s">
        <v>80</v>
      </c>
      <c r="N26" s="17" t="s">
        <v>320</v>
      </c>
      <c r="O26" t="s">
        <v>81</v>
      </c>
      <c r="Q26" s="40">
        <f t="shared" si="17"/>
        <v>0</v>
      </c>
      <c r="R26" s="40">
        <f t="shared" si="17"/>
        <v>0</v>
      </c>
      <c r="S26" s="40">
        <f t="shared" si="17"/>
        <v>0</v>
      </c>
      <c r="T26" s="40">
        <f t="shared" si="17"/>
        <v>0</v>
      </c>
      <c r="U26" s="40">
        <f t="shared" si="17"/>
        <v>3</v>
      </c>
      <c r="V26" s="40">
        <f t="shared" si="17"/>
        <v>0</v>
      </c>
      <c r="X26" s="18" t="s">
        <v>326</v>
      </c>
      <c r="Z26" s="40">
        <f t="shared" si="14"/>
        <v>0</v>
      </c>
      <c r="AA26" s="40">
        <f t="shared" si="9"/>
        <v>0</v>
      </c>
      <c r="AB26" s="40">
        <f t="shared" si="9"/>
        <v>0</v>
      </c>
      <c r="AC26" s="40">
        <f t="shared" si="9"/>
        <v>0</v>
      </c>
      <c r="AD26" s="40">
        <f t="shared" si="9"/>
        <v>0</v>
      </c>
      <c r="AE26" s="40">
        <f t="shared" si="9"/>
        <v>0</v>
      </c>
      <c r="AG26" s="18"/>
      <c r="AI26" s="40">
        <f t="shared" si="15"/>
        <v>0</v>
      </c>
      <c r="AJ26" s="40">
        <f t="shared" si="10"/>
        <v>0</v>
      </c>
      <c r="AK26" s="40">
        <f t="shared" si="10"/>
        <v>0</v>
      </c>
      <c r="AL26" s="40">
        <f t="shared" si="10"/>
        <v>0</v>
      </c>
      <c r="AM26" s="40">
        <f t="shared" si="10"/>
        <v>0</v>
      </c>
      <c r="AN26" s="40">
        <f t="shared" si="10"/>
        <v>0</v>
      </c>
      <c r="AP26" s="18"/>
      <c r="AR26" s="40">
        <f t="shared" si="16"/>
        <v>0</v>
      </c>
      <c r="AS26" s="40">
        <f t="shared" si="11"/>
        <v>0</v>
      </c>
      <c r="AT26" s="40">
        <f t="shared" si="11"/>
        <v>0</v>
      </c>
      <c r="AU26" s="40">
        <f t="shared" si="11"/>
        <v>0</v>
      </c>
      <c r="AV26" s="40">
        <f t="shared" si="11"/>
        <v>0</v>
      </c>
      <c r="AW26" s="40">
        <f t="shared" si="11"/>
        <v>0</v>
      </c>
      <c r="AY26" s="18"/>
    </row>
    <row r="27" spans="2:52">
      <c r="B27" s="44" t="s">
        <v>57</v>
      </c>
      <c r="C27" s="57"/>
      <c r="D27" s="44">
        <v>55</v>
      </c>
      <c r="E27" s="44"/>
      <c r="F27" s="44" t="s">
        <v>46</v>
      </c>
      <c r="G27" s="44" t="s">
        <v>37</v>
      </c>
      <c r="H27" s="53">
        <f t="shared" si="12"/>
        <v>4</v>
      </c>
      <c r="I27" s="44"/>
      <c r="J27" s="54"/>
      <c r="K27" s="53">
        <f t="shared" si="13"/>
        <v>0</v>
      </c>
      <c r="L27" s="44" t="s">
        <v>82</v>
      </c>
      <c r="M27" s="44" t="s">
        <v>83</v>
      </c>
      <c r="N27" s="17" t="s">
        <v>320</v>
      </c>
      <c r="O27" t="s">
        <v>84</v>
      </c>
      <c r="Q27" s="40">
        <f t="shared" si="17"/>
        <v>0</v>
      </c>
      <c r="R27" s="40">
        <f t="shared" si="17"/>
        <v>4</v>
      </c>
      <c r="S27" s="40">
        <f t="shared" si="17"/>
        <v>0</v>
      </c>
      <c r="T27" s="40">
        <f t="shared" si="17"/>
        <v>0</v>
      </c>
      <c r="U27" s="40">
        <f t="shared" si="17"/>
        <v>0</v>
      </c>
      <c r="V27" s="40">
        <f t="shared" si="17"/>
        <v>0</v>
      </c>
      <c r="X27" s="18" t="s">
        <v>326</v>
      </c>
      <c r="Z27" s="40">
        <f t="shared" si="14"/>
        <v>0</v>
      </c>
      <c r="AA27" s="40">
        <f t="shared" si="9"/>
        <v>0</v>
      </c>
      <c r="AB27" s="40">
        <f t="shared" si="9"/>
        <v>0</v>
      </c>
      <c r="AC27" s="40">
        <f t="shared" si="9"/>
        <v>0</v>
      </c>
      <c r="AD27" s="40">
        <f t="shared" si="9"/>
        <v>0</v>
      </c>
      <c r="AE27" s="40">
        <f t="shared" si="9"/>
        <v>0</v>
      </c>
      <c r="AG27" s="18"/>
      <c r="AI27" s="40">
        <f t="shared" si="15"/>
        <v>0</v>
      </c>
      <c r="AJ27" s="40">
        <f t="shared" si="10"/>
        <v>0</v>
      </c>
      <c r="AK27" s="40">
        <f t="shared" si="10"/>
        <v>0</v>
      </c>
      <c r="AL27" s="40">
        <f t="shared" si="10"/>
        <v>0</v>
      </c>
      <c r="AM27" s="40">
        <f t="shared" si="10"/>
        <v>0</v>
      </c>
      <c r="AN27" s="40">
        <f t="shared" si="10"/>
        <v>0</v>
      </c>
      <c r="AP27" s="18"/>
      <c r="AR27" s="40">
        <f t="shared" si="16"/>
        <v>0</v>
      </c>
      <c r="AS27" s="40">
        <f t="shared" si="11"/>
        <v>0</v>
      </c>
      <c r="AT27" s="40">
        <f t="shared" si="11"/>
        <v>0</v>
      </c>
      <c r="AU27" s="40">
        <f t="shared" si="11"/>
        <v>0</v>
      </c>
      <c r="AV27" s="40">
        <f t="shared" si="11"/>
        <v>0</v>
      </c>
      <c r="AW27" s="40">
        <f t="shared" si="11"/>
        <v>0</v>
      </c>
      <c r="AY27" s="18"/>
    </row>
    <row r="28" spans="2:52">
      <c r="B28" s="44" t="s">
        <v>85</v>
      </c>
      <c r="C28" s="57"/>
      <c r="D28" s="44">
        <v>72</v>
      </c>
      <c r="E28" s="44"/>
      <c r="F28" s="44" t="s">
        <v>46</v>
      </c>
      <c r="G28" s="44" t="s">
        <v>37</v>
      </c>
      <c r="H28" s="53">
        <f t="shared" si="12"/>
        <v>4</v>
      </c>
      <c r="I28" s="44" t="s">
        <v>46</v>
      </c>
      <c r="J28" s="54" t="s">
        <v>37</v>
      </c>
      <c r="K28" s="53">
        <f t="shared" si="13"/>
        <v>4</v>
      </c>
      <c r="L28" s="44" t="s">
        <v>86</v>
      </c>
      <c r="M28" s="44" t="s">
        <v>87</v>
      </c>
      <c r="N28" s="17" t="s">
        <v>320</v>
      </c>
      <c r="O28" t="s">
        <v>88</v>
      </c>
      <c r="Q28" s="40">
        <f t="shared" si="17"/>
        <v>0</v>
      </c>
      <c r="R28" s="40">
        <f t="shared" si="17"/>
        <v>4</v>
      </c>
      <c r="S28" s="40">
        <f t="shared" si="17"/>
        <v>0</v>
      </c>
      <c r="T28" s="40">
        <f t="shared" si="17"/>
        <v>0</v>
      </c>
      <c r="U28" s="40">
        <f t="shared" si="17"/>
        <v>0</v>
      </c>
      <c r="V28" s="40">
        <f t="shared" si="17"/>
        <v>0</v>
      </c>
      <c r="X28" s="18" t="s">
        <v>326</v>
      </c>
      <c r="Z28" s="40">
        <f t="shared" si="14"/>
        <v>0</v>
      </c>
      <c r="AA28" s="40">
        <f t="shared" si="9"/>
        <v>0</v>
      </c>
      <c r="AB28" s="40">
        <f t="shared" si="9"/>
        <v>0</v>
      </c>
      <c r="AC28" s="40">
        <f t="shared" si="9"/>
        <v>0</v>
      </c>
      <c r="AD28" s="40">
        <f t="shared" si="9"/>
        <v>0</v>
      </c>
      <c r="AE28" s="40">
        <f t="shared" si="9"/>
        <v>0</v>
      </c>
      <c r="AG28" s="18"/>
      <c r="AI28" s="40">
        <f t="shared" si="15"/>
        <v>0</v>
      </c>
      <c r="AJ28" s="40">
        <f t="shared" si="10"/>
        <v>0</v>
      </c>
      <c r="AK28" s="40">
        <f t="shared" si="10"/>
        <v>0</v>
      </c>
      <c r="AL28" s="40">
        <f t="shared" si="10"/>
        <v>0</v>
      </c>
      <c r="AM28" s="40">
        <f t="shared" si="10"/>
        <v>0</v>
      </c>
      <c r="AN28" s="40">
        <f t="shared" si="10"/>
        <v>0</v>
      </c>
      <c r="AP28" s="18"/>
      <c r="AR28" s="40">
        <f t="shared" si="16"/>
        <v>0</v>
      </c>
      <c r="AS28" s="40">
        <f t="shared" si="11"/>
        <v>0</v>
      </c>
      <c r="AT28" s="40">
        <f t="shared" si="11"/>
        <v>0</v>
      </c>
      <c r="AU28" s="40">
        <f t="shared" si="11"/>
        <v>0</v>
      </c>
      <c r="AV28" s="40">
        <f t="shared" si="11"/>
        <v>0</v>
      </c>
      <c r="AW28" s="40">
        <f t="shared" si="11"/>
        <v>0</v>
      </c>
      <c r="AY28" s="18"/>
    </row>
    <row r="29" spans="2:52">
      <c r="B29" s="44" t="s">
        <v>85</v>
      </c>
      <c r="C29" s="57"/>
      <c r="D29" s="44">
        <v>69</v>
      </c>
      <c r="E29" s="44"/>
      <c r="F29" s="44" t="s">
        <v>53</v>
      </c>
      <c r="G29" s="44" t="s">
        <v>37</v>
      </c>
      <c r="H29" s="53">
        <f t="shared" si="12"/>
        <v>4</v>
      </c>
      <c r="I29" s="44" t="s">
        <v>53</v>
      </c>
      <c r="J29" s="54" t="s">
        <v>37</v>
      </c>
      <c r="K29" s="53">
        <f t="shared" si="13"/>
        <v>4</v>
      </c>
      <c r="L29" s="44" t="s">
        <v>89</v>
      </c>
      <c r="M29" s="44" t="s">
        <v>90</v>
      </c>
      <c r="N29" s="17" t="s">
        <v>320</v>
      </c>
      <c r="O29" t="s">
        <v>91</v>
      </c>
      <c r="Q29" s="40">
        <f t="shared" si="17"/>
        <v>0</v>
      </c>
      <c r="R29" s="40">
        <f t="shared" si="17"/>
        <v>0</v>
      </c>
      <c r="S29" s="40">
        <f t="shared" si="17"/>
        <v>0</v>
      </c>
      <c r="T29" s="40">
        <f t="shared" si="17"/>
        <v>0</v>
      </c>
      <c r="U29" s="40">
        <f t="shared" si="17"/>
        <v>4</v>
      </c>
      <c r="V29" s="40">
        <f t="shared" si="17"/>
        <v>0</v>
      </c>
      <c r="X29" s="18" t="s">
        <v>326</v>
      </c>
      <c r="Z29" s="40">
        <f t="shared" si="14"/>
        <v>0</v>
      </c>
      <c r="AA29" s="40">
        <f t="shared" si="14"/>
        <v>0</v>
      </c>
      <c r="AB29" s="40">
        <f t="shared" si="14"/>
        <v>0</v>
      </c>
      <c r="AC29" s="40">
        <f t="shared" si="14"/>
        <v>0</v>
      </c>
      <c r="AD29" s="40">
        <f t="shared" si="14"/>
        <v>0</v>
      </c>
      <c r="AE29" s="40">
        <f t="shared" ref="AE29:AE92" si="18">IF(AND($AG29="x",$F29=AE$1),$H29,0)</f>
        <v>0</v>
      </c>
      <c r="AG29" s="18"/>
      <c r="AI29" s="40">
        <f t="shared" si="15"/>
        <v>0</v>
      </c>
      <c r="AJ29" s="40">
        <f t="shared" si="15"/>
        <v>0</v>
      </c>
      <c r="AK29" s="40">
        <f t="shared" si="15"/>
        <v>0</v>
      </c>
      <c r="AL29" s="40">
        <f t="shared" si="15"/>
        <v>0</v>
      </c>
      <c r="AM29" s="40">
        <f t="shared" si="15"/>
        <v>0</v>
      </c>
      <c r="AN29" s="40">
        <f t="shared" ref="AN29:AN92" si="19">IF(AND($AP29="x",$I29=AN$1),$K29,0)</f>
        <v>0</v>
      </c>
      <c r="AP29" s="18"/>
      <c r="AR29" s="40">
        <f t="shared" si="16"/>
        <v>0</v>
      </c>
      <c r="AS29" s="40">
        <f t="shared" si="16"/>
        <v>0</v>
      </c>
      <c r="AT29" s="40">
        <f t="shared" si="16"/>
        <v>0</v>
      </c>
      <c r="AU29" s="40">
        <f t="shared" si="16"/>
        <v>0</v>
      </c>
      <c r="AV29" s="40">
        <f t="shared" si="16"/>
        <v>0</v>
      </c>
      <c r="AW29" s="40">
        <f t="shared" ref="AW29:AW92" si="20">IF(AND($AY29="x",$I29=AW$1),$K29,0)</f>
        <v>0</v>
      </c>
      <c r="AY29" s="18"/>
    </row>
    <row r="30" spans="2:52">
      <c r="B30" s="44" t="s">
        <v>85</v>
      </c>
      <c r="C30" s="57"/>
      <c r="D30" s="44">
        <v>70</v>
      </c>
      <c r="E30" s="44"/>
      <c r="F30" s="44" t="s">
        <v>41</v>
      </c>
      <c r="G30" s="44" t="s">
        <v>37</v>
      </c>
      <c r="H30" s="53">
        <f t="shared" si="12"/>
        <v>4</v>
      </c>
      <c r="I30" s="44" t="s">
        <v>41</v>
      </c>
      <c r="J30" s="54" t="s">
        <v>37</v>
      </c>
      <c r="K30" s="53">
        <f t="shared" si="13"/>
        <v>4</v>
      </c>
      <c r="L30" s="44" t="s">
        <v>92</v>
      </c>
      <c r="M30" s="44" t="s">
        <v>93</v>
      </c>
      <c r="N30" s="17" t="s">
        <v>320</v>
      </c>
      <c r="O30" t="s">
        <v>94</v>
      </c>
      <c r="Q30" s="40">
        <f t="shared" si="17"/>
        <v>4</v>
      </c>
      <c r="R30" s="40">
        <f t="shared" si="17"/>
        <v>0</v>
      </c>
      <c r="S30" s="40">
        <f t="shared" si="17"/>
        <v>0</v>
      </c>
      <c r="T30" s="40">
        <f t="shared" si="17"/>
        <v>0</v>
      </c>
      <c r="U30" s="40">
        <f t="shared" si="17"/>
        <v>0</v>
      </c>
      <c r="V30" s="40">
        <f t="shared" si="17"/>
        <v>0</v>
      </c>
      <c r="X30" s="18" t="s">
        <v>326</v>
      </c>
      <c r="Z30" s="40">
        <f t="shared" si="14"/>
        <v>0</v>
      </c>
      <c r="AA30" s="40">
        <f t="shared" si="14"/>
        <v>0</v>
      </c>
      <c r="AB30" s="40">
        <f t="shared" si="14"/>
        <v>0</v>
      </c>
      <c r="AC30" s="40">
        <f t="shared" si="14"/>
        <v>0</v>
      </c>
      <c r="AD30" s="40">
        <f t="shared" si="14"/>
        <v>0</v>
      </c>
      <c r="AE30" s="40">
        <f t="shared" si="18"/>
        <v>0</v>
      </c>
      <c r="AG30" s="18"/>
      <c r="AI30" s="40">
        <f t="shared" si="15"/>
        <v>0</v>
      </c>
      <c r="AJ30" s="40">
        <f t="shared" si="15"/>
        <v>0</v>
      </c>
      <c r="AK30" s="40">
        <f t="shared" si="15"/>
        <v>0</v>
      </c>
      <c r="AL30" s="40">
        <f t="shared" si="15"/>
        <v>0</v>
      </c>
      <c r="AM30" s="40">
        <f t="shared" si="15"/>
        <v>0</v>
      </c>
      <c r="AN30" s="40">
        <f t="shared" si="19"/>
        <v>0</v>
      </c>
      <c r="AP30" s="18"/>
      <c r="AR30" s="40">
        <f t="shared" si="16"/>
        <v>0</v>
      </c>
      <c r="AS30" s="40">
        <f t="shared" si="16"/>
        <v>0</v>
      </c>
      <c r="AT30" s="40">
        <f t="shared" si="16"/>
        <v>0</v>
      </c>
      <c r="AU30" s="40">
        <f t="shared" si="16"/>
        <v>0</v>
      </c>
      <c r="AV30" s="40">
        <f t="shared" si="16"/>
        <v>0</v>
      </c>
      <c r="AW30" s="40">
        <f t="shared" si="20"/>
        <v>0</v>
      </c>
      <c r="AY30" s="18"/>
    </row>
    <row r="31" spans="2:52">
      <c r="B31" s="44" t="s">
        <v>85</v>
      </c>
      <c r="C31" s="57"/>
      <c r="D31" s="44">
        <v>68</v>
      </c>
      <c r="E31" s="44"/>
      <c r="F31" s="44" t="s">
        <v>36</v>
      </c>
      <c r="G31" s="44" t="s">
        <v>37</v>
      </c>
      <c r="H31" s="53">
        <f t="shared" si="12"/>
        <v>4</v>
      </c>
      <c r="I31" s="44" t="s">
        <v>36</v>
      </c>
      <c r="J31" s="54" t="s">
        <v>37</v>
      </c>
      <c r="K31" s="53">
        <f t="shared" si="13"/>
        <v>4</v>
      </c>
      <c r="L31" s="44" t="s">
        <v>95</v>
      </c>
      <c r="M31" s="44" t="s">
        <v>96</v>
      </c>
      <c r="N31" s="17" t="s">
        <v>320</v>
      </c>
      <c r="O31" t="s">
        <v>97</v>
      </c>
      <c r="Q31" s="40">
        <f t="shared" si="17"/>
        <v>0</v>
      </c>
      <c r="R31" s="40">
        <f t="shared" si="17"/>
        <v>0</v>
      </c>
      <c r="S31" s="40">
        <f t="shared" si="17"/>
        <v>0</v>
      </c>
      <c r="T31" s="40">
        <f t="shared" si="17"/>
        <v>0</v>
      </c>
      <c r="U31" s="40">
        <f t="shared" si="17"/>
        <v>0</v>
      </c>
      <c r="V31" s="40">
        <f t="shared" si="17"/>
        <v>4</v>
      </c>
      <c r="X31" s="18" t="s">
        <v>326</v>
      </c>
      <c r="Z31" s="40">
        <f t="shared" si="14"/>
        <v>0</v>
      </c>
      <c r="AA31" s="40">
        <f t="shared" si="14"/>
        <v>0</v>
      </c>
      <c r="AB31" s="40">
        <f t="shared" si="14"/>
        <v>0</v>
      </c>
      <c r="AC31" s="40">
        <f t="shared" si="14"/>
        <v>0</v>
      </c>
      <c r="AD31" s="40">
        <f t="shared" si="14"/>
        <v>0</v>
      </c>
      <c r="AE31" s="40">
        <f t="shared" si="18"/>
        <v>0</v>
      </c>
      <c r="AG31" s="18"/>
      <c r="AI31" s="40">
        <f t="shared" si="15"/>
        <v>0</v>
      </c>
      <c r="AJ31" s="40">
        <f t="shared" si="15"/>
        <v>0</v>
      </c>
      <c r="AK31" s="40">
        <f t="shared" si="15"/>
        <v>0</v>
      </c>
      <c r="AL31" s="40">
        <f t="shared" si="15"/>
        <v>0</v>
      </c>
      <c r="AM31" s="40">
        <f t="shared" si="15"/>
        <v>0</v>
      </c>
      <c r="AN31" s="40">
        <f t="shared" si="19"/>
        <v>0</v>
      </c>
      <c r="AP31" s="18"/>
      <c r="AR31" s="40">
        <f t="shared" si="16"/>
        <v>0</v>
      </c>
      <c r="AS31" s="40">
        <f t="shared" si="16"/>
        <v>0</v>
      </c>
      <c r="AT31" s="40">
        <f t="shared" si="16"/>
        <v>0</v>
      </c>
      <c r="AU31" s="40">
        <f t="shared" si="16"/>
        <v>0</v>
      </c>
      <c r="AV31" s="40">
        <f t="shared" si="16"/>
        <v>0</v>
      </c>
      <c r="AW31" s="40">
        <f t="shared" si="20"/>
        <v>0</v>
      </c>
      <c r="AY31" s="18"/>
    </row>
    <row r="32" spans="2:52">
      <c r="B32" s="44" t="s">
        <v>85</v>
      </c>
      <c r="C32" s="57"/>
      <c r="D32" s="44">
        <v>71</v>
      </c>
      <c r="E32" s="44"/>
      <c r="F32" s="44" t="s">
        <v>70</v>
      </c>
      <c r="G32" s="44" t="s">
        <v>71</v>
      </c>
      <c r="H32" s="53">
        <f t="shared" si="12"/>
        <v>0</v>
      </c>
      <c r="I32" s="44" t="s">
        <v>70</v>
      </c>
      <c r="J32" s="54" t="s">
        <v>71</v>
      </c>
      <c r="K32" s="53">
        <f t="shared" si="13"/>
        <v>0</v>
      </c>
      <c r="L32" s="44" t="s">
        <v>98</v>
      </c>
      <c r="M32" s="44" t="s">
        <v>99</v>
      </c>
      <c r="N32" s="17" t="s">
        <v>320</v>
      </c>
      <c r="O32" t="s">
        <v>100</v>
      </c>
      <c r="Q32" s="40">
        <f t="shared" si="17"/>
        <v>0</v>
      </c>
      <c r="R32" s="40">
        <f t="shared" si="17"/>
        <v>0</v>
      </c>
      <c r="S32" s="40">
        <f t="shared" si="17"/>
        <v>0</v>
      </c>
      <c r="T32" s="40">
        <f t="shared" si="17"/>
        <v>0</v>
      </c>
      <c r="U32" s="40">
        <f t="shared" si="17"/>
        <v>0</v>
      </c>
      <c r="V32" s="40">
        <f t="shared" si="17"/>
        <v>0</v>
      </c>
      <c r="X32" s="18" t="s">
        <v>326</v>
      </c>
      <c r="Z32" s="40">
        <f t="shared" si="14"/>
        <v>0</v>
      </c>
      <c r="AA32" s="40">
        <f t="shared" si="14"/>
        <v>0</v>
      </c>
      <c r="AB32" s="40">
        <f t="shared" si="14"/>
        <v>0</v>
      </c>
      <c r="AC32" s="40">
        <f t="shared" si="14"/>
        <v>0</v>
      </c>
      <c r="AD32" s="40">
        <f t="shared" si="14"/>
        <v>0</v>
      </c>
      <c r="AE32" s="40">
        <f t="shared" si="18"/>
        <v>0</v>
      </c>
      <c r="AG32" s="18"/>
      <c r="AI32" s="40">
        <f t="shared" si="15"/>
        <v>0</v>
      </c>
      <c r="AJ32" s="40">
        <f t="shared" si="15"/>
        <v>0</v>
      </c>
      <c r="AK32" s="40">
        <f t="shared" si="15"/>
        <v>0</v>
      </c>
      <c r="AL32" s="40">
        <f t="shared" si="15"/>
        <v>0</v>
      </c>
      <c r="AM32" s="40">
        <f t="shared" si="15"/>
        <v>0</v>
      </c>
      <c r="AN32" s="40">
        <f t="shared" si="19"/>
        <v>0</v>
      </c>
      <c r="AP32" s="18"/>
      <c r="AR32" s="40">
        <f t="shared" si="16"/>
        <v>0</v>
      </c>
      <c r="AS32" s="40">
        <f t="shared" si="16"/>
        <v>0</v>
      </c>
      <c r="AT32" s="40">
        <f t="shared" si="16"/>
        <v>0</v>
      </c>
      <c r="AU32" s="40">
        <f t="shared" si="16"/>
        <v>0</v>
      </c>
      <c r="AV32" s="40">
        <f t="shared" si="16"/>
        <v>0</v>
      </c>
      <c r="AW32" s="40">
        <f t="shared" si="20"/>
        <v>0</v>
      </c>
      <c r="AY32" s="18"/>
      <c r="AZ32" t="s">
        <v>347</v>
      </c>
    </row>
    <row r="33" spans="2:53">
      <c r="B33" s="44" t="s">
        <v>101</v>
      </c>
      <c r="C33" s="57"/>
      <c r="D33" s="44">
        <v>82</v>
      </c>
      <c r="E33" s="44"/>
      <c r="F33" s="44" t="s">
        <v>329</v>
      </c>
      <c r="G33" s="44" t="s">
        <v>37</v>
      </c>
      <c r="H33" s="53">
        <f t="shared" si="12"/>
        <v>4</v>
      </c>
      <c r="I33" s="44" t="s">
        <v>329</v>
      </c>
      <c r="J33" s="54" t="s">
        <v>37</v>
      </c>
      <c r="K33" s="53">
        <f t="shared" si="13"/>
        <v>4</v>
      </c>
      <c r="L33" s="44" t="s">
        <v>102</v>
      </c>
      <c r="M33" s="44" t="s">
        <v>103</v>
      </c>
      <c r="N33" s="17" t="s">
        <v>320</v>
      </c>
      <c r="O33" t="s">
        <v>104</v>
      </c>
      <c r="Q33" s="40">
        <f t="shared" ref="Q33:V42" si="21">IF(AND($X33="x",$F33=Q$1),$H33,0)</f>
        <v>0</v>
      </c>
      <c r="R33" s="40">
        <f t="shared" si="21"/>
        <v>0</v>
      </c>
      <c r="S33" s="40">
        <f t="shared" si="21"/>
        <v>4</v>
      </c>
      <c r="T33" s="40">
        <f t="shared" si="21"/>
        <v>0</v>
      </c>
      <c r="U33" s="40">
        <f t="shared" si="21"/>
        <v>0</v>
      </c>
      <c r="V33" s="40">
        <f t="shared" si="21"/>
        <v>0</v>
      </c>
      <c r="X33" s="18" t="s">
        <v>326</v>
      </c>
      <c r="Z33" s="40">
        <f t="shared" si="14"/>
        <v>0</v>
      </c>
      <c r="AA33" s="40">
        <f t="shared" si="14"/>
        <v>0</v>
      </c>
      <c r="AB33" s="40">
        <f t="shared" si="14"/>
        <v>0</v>
      </c>
      <c r="AC33" s="40">
        <f t="shared" si="14"/>
        <v>0</v>
      </c>
      <c r="AD33" s="40">
        <f t="shared" si="14"/>
        <v>0</v>
      </c>
      <c r="AE33" s="40">
        <f t="shared" si="18"/>
        <v>0</v>
      </c>
      <c r="AG33" s="18"/>
      <c r="AI33" s="40">
        <f t="shared" si="15"/>
        <v>0</v>
      </c>
      <c r="AJ33" s="40">
        <f t="shared" si="15"/>
        <v>0</v>
      </c>
      <c r="AK33" s="40">
        <f t="shared" si="15"/>
        <v>0</v>
      </c>
      <c r="AL33" s="40">
        <f t="shared" si="15"/>
        <v>0</v>
      </c>
      <c r="AM33" s="40">
        <f t="shared" si="15"/>
        <v>0</v>
      </c>
      <c r="AN33" s="40">
        <f t="shared" si="19"/>
        <v>0</v>
      </c>
      <c r="AP33" s="18"/>
      <c r="AR33" s="40">
        <f t="shared" si="16"/>
        <v>0</v>
      </c>
      <c r="AS33" s="40">
        <f t="shared" si="16"/>
        <v>0</v>
      </c>
      <c r="AT33" s="40">
        <f t="shared" si="16"/>
        <v>0</v>
      </c>
      <c r="AU33" s="40">
        <f t="shared" si="16"/>
        <v>0</v>
      </c>
      <c r="AV33" s="40">
        <f t="shared" si="16"/>
        <v>0</v>
      </c>
      <c r="AW33" s="40">
        <f t="shared" si="20"/>
        <v>0</v>
      </c>
      <c r="AY33" s="18"/>
      <c r="AZ33" t="s">
        <v>348</v>
      </c>
    </row>
    <row r="34" spans="2:53">
      <c r="B34" s="44" t="s">
        <v>101</v>
      </c>
      <c r="C34" s="57"/>
      <c r="D34" s="44">
        <v>79</v>
      </c>
      <c r="E34" s="44"/>
      <c r="F34" s="44" t="s">
        <v>46</v>
      </c>
      <c r="G34" s="44" t="s">
        <v>37</v>
      </c>
      <c r="H34" s="53">
        <f t="shared" si="12"/>
        <v>4</v>
      </c>
      <c r="I34" s="44" t="s">
        <v>71</v>
      </c>
      <c r="J34" s="54" t="s">
        <v>71</v>
      </c>
      <c r="K34" s="53">
        <f t="shared" si="13"/>
        <v>0</v>
      </c>
      <c r="L34" s="44" t="s">
        <v>105</v>
      </c>
      <c r="M34" s="44" t="s">
        <v>106</v>
      </c>
      <c r="N34" s="17" t="s">
        <v>320</v>
      </c>
      <c r="O34" t="s">
        <v>107</v>
      </c>
      <c r="Q34" s="40">
        <f t="shared" si="21"/>
        <v>0</v>
      </c>
      <c r="R34" s="40">
        <f t="shared" si="21"/>
        <v>4</v>
      </c>
      <c r="S34" s="40">
        <f t="shared" si="21"/>
        <v>0</v>
      </c>
      <c r="T34" s="40">
        <f t="shared" si="21"/>
        <v>0</v>
      </c>
      <c r="U34" s="40">
        <f t="shared" si="21"/>
        <v>0</v>
      </c>
      <c r="V34" s="40">
        <f t="shared" si="21"/>
        <v>0</v>
      </c>
      <c r="X34" s="18" t="s">
        <v>326</v>
      </c>
      <c r="Z34" s="40">
        <f t="shared" si="14"/>
        <v>0</v>
      </c>
      <c r="AA34" s="40">
        <f t="shared" si="14"/>
        <v>0</v>
      </c>
      <c r="AB34" s="40">
        <f t="shared" si="14"/>
        <v>0</v>
      </c>
      <c r="AC34" s="40">
        <f t="shared" si="14"/>
        <v>0</v>
      </c>
      <c r="AD34" s="40">
        <f t="shared" si="14"/>
        <v>0</v>
      </c>
      <c r="AE34" s="40">
        <f t="shared" si="18"/>
        <v>0</v>
      </c>
      <c r="AG34" s="18"/>
      <c r="AI34" s="40">
        <f t="shared" si="15"/>
        <v>0</v>
      </c>
      <c r="AJ34" s="40">
        <f t="shared" si="15"/>
        <v>0</v>
      </c>
      <c r="AK34" s="40">
        <f t="shared" si="15"/>
        <v>0</v>
      </c>
      <c r="AL34" s="40">
        <f t="shared" si="15"/>
        <v>0</v>
      </c>
      <c r="AM34" s="40">
        <f t="shared" si="15"/>
        <v>0</v>
      </c>
      <c r="AN34" s="40">
        <f t="shared" si="19"/>
        <v>0</v>
      </c>
      <c r="AP34" s="18"/>
      <c r="AR34" s="40">
        <f t="shared" si="16"/>
        <v>0</v>
      </c>
      <c r="AS34" s="40">
        <f t="shared" si="16"/>
        <v>0</v>
      </c>
      <c r="AT34" s="40">
        <f t="shared" si="16"/>
        <v>0</v>
      </c>
      <c r="AU34" s="40">
        <f t="shared" si="16"/>
        <v>0</v>
      </c>
      <c r="AV34" s="40">
        <f t="shared" si="16"/>
        <v>0</v>
      </c>
      <c r="AW34" s="40">
        <f t="shared" si="20"/>
        <v>0</v>
      </c>
      <c r="AY34" s="18"/>
    </row>
    <row r="35" spans="2:53">
      <c r="B35" s="44" t="s">
        <v>101</v>
      </c>
      <c r="C35" s="57"/>
      <c r="D35" s="44">
        <v>62</v>
      </c>
      <c r="E35" s="44"/>
      <c r="F35" s="44" t="s">
        <v>108</v>
      </c>
      <c r="G35" s="44" t="s">
        <v>71</v>
      </c>
      <c r="H35" s="53">
        <f t="shared" si="12"/>
        <v>0</v>
      </c>
      <c r="I35" s="44" t="s">
        <v>108</v>
      </c>
      <c r="J35" s="54" t="s">
        <v>71</v>
      </c>
      <c r="K35" s="53">
        <f t="shared" si="13"/>
        <v>0</v>
      </c>
      <c r="L35" s="44" t="s">
        <v>109</v>
      </c>
      <c r="M35" s="44" t="s">
        <v>110</v>
      </c>
      <c r="N35" s="17" t="s">
        <v>320</v>
      </c>
      <c r="O35" t="s">
        <v>111</v>
      </c>
      <c r="Q35" s="40">
        <f t="shared" si="21"/>
        <v>0</v>
      </c>
      <c r="R35" s="40">
        <f t="shared" si="21"/>
        <v>0</v>
      </c>
      <c r="S35" s="40">
        <f t="shared" si="21"/>
        <v>0</v>
      </c>
      <c r="T35" s="40">
        <f t="shared" si="21"/>
        <v>0</v>
      </c>
      <c r="U35" s="40">
        <f t="shared" si="21"/>
        <v>0</v>
      </c>
      <c r="V35" s="40">
        <f t="shared" si="21"/>
        <v>0</v>
      </c>
      <c r="X35" s="18" t="s">
        <v>326</v>
      </c>
      <c r="Z35" s="40">
        <f t="shared" si="14"/>
        <v>0</v>
      </c>
      <c r="AA35" s="40">
        <f t="shared" si="14"/>
        <v>0</v>
      </c>
      <c r="AB35" s="40">
        <f t="shared" si="14"/>
        <v>0</v>
      </c>
      <c r="AC35" s="40">
        <f t="shared" si="14"/>
        <v>0</v>
      </c>
      <c r="AD35" s="40">
        <f t="shared" si="14"/>
        <v>0</v>
      </c>
      <c r="AE35" s="40">
        <f t="shared" si="18"/>
        <v>0</v>
      </c>
      <c r="AG35" s="18"/>
      <c r="AI35" s="40">
        <f t="shared" si="15"/>
        <v>0</v>
      </c>
      <c r="AJ35" s="40">
        <f t="shared" si="15"/>
        <v>0</v>
      </c>
      <c r="AK35" s="40">
        <f t="shared" si="15"/>
        <v>0</v>
      </c>
      <c r="AL35" s="40">
        <f t="shared" si="15"/>
        <v>0</v>
      </c>
      <c r="AM35" s="40">
        <f t="shared" si="15"/>
        <v>0</v>
      </c>
      <c r="AN35" s="40">
        <f t="shared" si="19"/>
        <v>0</v>
      </c>
      <c r="AP35" s="18"/>
      <c r="AR35" s="40">
        <f t="shared" si="16"/>
        <v>0</v>
      </c>
      <c r="AS35" s="40">
        <f t="shared" si="16"/>
        <v>0</v>
      </c>
      <c r="AT35" s="40">
        <f t="shared" si="16"/>
        <v>0</v>
      </c>
      <c r="AU35" s="40">
        <f t="shared" si="16"/>
        <v>0</v>
      </c>
      <c r="AV35" s="40">
        <f t="shared" si="16"/>
        <v>0</v>
      </c>
      <c r="AW35" s="40">
        <f t="shared" si="20"/>
        <v>0</v>
      </c>
      <c r="AY35" s="18"/>
    </row>
    <row r="36" spans="2:53">
      <c r="B36" s="44" t="s">
        <v>101</v>
      </c>
      <c r="C36" s="57"/>
      <c r="D36" s="44">
        <v>80</v>
      </c>
      <c r="E36" s="44"/>
      <c r="F36" s="44" t="s">
        <v>41</v>
      </c>
      <c r="G36" s="44" t="s">
        <v>37</v>
      </c>
      <c r="H36" s="53">
        <f t="shared" si="12"/>
        <v>4</v>
      </c>
      <c r="I36" s="44" t="s">
        <v>41</v>
      </c>
      <c r="J36" s="54" t="s">
        <v>37</v>
      </c>
      <c r="K36" s="53">
        <f t="shared" si="13"/>
        <v>4</v>
      </c>
      <c r="L36" s="44" t="s">
        <v>112</v>
      </c>
      <c r="M36" s="44" t="s">
        <v>113</v>
      </c>
      <c r="N36" s="17" t="s">
        <v>320</v>
      </c>
      <c r="O36" t="s">
        <v>114</v>
      </c>
      <c r="Q36" s="40">
        <f t="shared" si="21"/>
        <v>0</v>
      </c>
      <c r="R36" s="40">
        <f t="shared" si="21"/>
        <v>0</v>
      </c>
      <c r="S36" s="40">
        <f t="shared" si="21"/>
        <v>0</v>
      </c>
      <c r="T36" s="40">
        <f t="shared" si="21"/>
        <v>0</v>
      </c>
      <c r="U36" s="40">
        <f t="shared" si="21"/>
        <v>0</v>
      </c>
      <c r="V36" s="40">
        <f t="shared" si="21"/>
        <v>0</v>
      </c>
      <c r="X36" s="18"/>
      <c r="Z36" s="40">
        <f t="shared" si="14"/>
        <v>0</v>
      </c>
      <c r="AA36" s="40">
        <f t="shared" si="14"/>
        <v>0</v>
      </c>
      <c r="AB36" s="40">
        <f t="shared" si="14"/>
        <v>0</v>
      </c>
      <c r="AC36" s="40">
        <f t="shared" si="14"/>
        <v>0</v>
      </c>
      <c r="AD36" s="40">
        <f t="shared" si="14"/>
        <v>0</v>
      </c>
      <c r="AE36" s="40">
        <f t="shared" si="18"/>
        <v>0</v>
      </c>
      <c r="AG36" s="18"/>
      <c r="AI36" s="40">
        <f t="shared" si="15"/>
        <v>0</v>
      </c>
      <c r="AJ36" s="40">
        <f t="shared" si="15"/>
        <v>0</v>
      </c>
      <c r="AK36" s="40">
        <f t="shared" si="15"/>
        <v>0</v>
      </c>
      <c r="AL36" s="40">
        <f t="shared" si="15"/>
        <v>0</v>
      </c>
      <c r="AM36" s="40">
        <f t="shared" si="15"/>
        <v>0</v>
      </c>
      <c r="AN36" s="40">
        <f t="shared" si="19"/>
        <v>0</v>
      </c>
      <c r="AP36" s="18"/>
      <c r="AR36" s="40">
        <f t="shared" si="16"/>
        <v>0</v>
      </c>
      <c r="AS36" s="40">
        <f t="shared" si="16"/>
        <v>0</v>
      </c>
      <c r="AT36" s="40">
        <f t="shared" si="16"/>
        <v>0</v>
      </c>
      <c r="AU36" s="40">
        <f t="shared" si="16"/>
        <v>0</v>
      </c>
      <c r="AV36" s="40">
        <f t="shared" si="16"/>
        <v>0</v>
      </c>
      <c r="AW36" s="40">
        <f t="shared" si="20"/>
        <v>0</v>
      </c>
      <c r="AY36" s="18"/>
      <c r="AZ36" t="s">
        <v>350</v>
      </c>
    </row>
    <row r="37" spans="2:53">
      <c r="B37" s="44" t="s">
        <v>101</v>
      </c>
      <c r="C37" s="57"/>
      <c r="D37" s="44">
        <v>78</v>
      </c>
      <c r="E37" s="44"/>
      <c r="F37" s="44" t="s">
        <v>36</v>
      </c>
      <c r="G37" s="44" t="s">
        <v>37</v>
      </c>
      <c r="H37" s="53">
        <f t="shared" si="12"/>
        <v>4</v>
      </c>
      <c r="I37" s="44" t="s">
        <v>36</v>
      </c>
      <c r="J37" s="54" t="s">
        <v>37</v>
      </c>
      <c r="K37" s="53">
        <f t="shared" si="13"/>
        <v>4</v>
      </c>
      <c r="L37" s="44" t="s">
        <v>115</v>
      </c>
      <c r="M37" s="44" t="s">
        <v>116</v>
      </c>
      <c r="N37" s="17" t="s">
        <v>320</v>
      </c>
      <c r="O37" t="s">
        <v>117</v>
      </c>
      <c r="Q37" s="40">
        <f t="shared" si="21"/>
        <v>0</v>
      </c>
      <c r="R37" s="40">
        <f t="shared" si="21"/>
        <v>0</v>
      </c>
      <c r="S37" s="40">
        <f t="shared" si="21"/>
        <v>0</v>
      </c>
      <c r="T37" s="40">
        <f t="shared" si="21"/>
        <v>0</v>
      </c>
      <c r="U37" s="40">
        <f t="shared" si="21"/>
        <v>0</v>
      </c>
      <c r="V37" s="40">
        <f t="shared" si="21"/>
        <v>4</v>
      </c>
      <c r="X37" s="18" t="s">
        <v>326</v>
      </c>
      <c r="Z37" s="40">
        <f t="shared" si="14"/>
        <v>0</v>
      </c>
      <c r="AA37" s="40">
        <f t="shared" si="14"/>
        <v>0</v>
      </c>
      <c r="AB37" s="40">
        <f t="shared" si="14"/>
        <v>0</v>
      </c>
      <c r="AC37" s="40">
        <f t="shared" si="14"/>
        <v>0</v>
      </c>
      <c r="AD37" s="40">
        <f t="shared" si="14"/>
        <v>0</v>
      </c>
      <c r="AE37" s="40">
        <f t="shared" si="18"/>
        <v>0</v>
      </c>
      <c r="AG37" s="18"/>
      <c r="AI37" s="40">
        <f t="shared" si="15"/>
        <v>0</v>
      </c>
      <c r="AJ37" s="40">
        <f t="shared" si="15"/>
        <v>0</v>
      </c>
      <c r="AK37" s="40">
        <f t="shared" si="15"/>
        <v>0</v>
      </c>
      <c r="AL37" s="40">
        <f t="shared" si="15"/>
        <v>0</v>
      </c>
      <c r="AM37" s="40">
        <f t="shared" si="15"/>
        <v>0</v>
      </c>
      <c r="AN37" s="40">
        <f t="shared" si="19"/>
        <v>0</v>
      </c>
      <c r="AP37" s="18"/>
      <c r="AR37" s="40">
        <f t="shared" si="16"/>
        <v>0</v>
      </c>
      <c r="AS37" s="40">
        <f t="shared" si="16"/>
        <v>0</v>
      </c>
      <c r="AT37" s="40">
        <f t="shared" si="16"/>
        <v>0</v>
      </c>
      <c r="AU37" s="40">
        <f t="shared" si="16"/>
        <v>0</v>
      </c>
      <c r="AV37" s="40">
        <f t="shared" si="16"/>
        <v>0</v>
      </c>
      <c r="AW37" s="40">
        <f t="shared" si="20"/>
        <v>0</v>
      </c>
      <c r="AY37" s="18"/>
    </row>
    <row r="38" spans="2:53">
      <c r="B38" s="44" t="s">
        <v>101</v>
      </c>
      <c r="C38" s="57"/>
      <c r="D38" s="44">
        <v>81</v>
      </c>
      <c r="E38" s="44"/>
      <c r="F38" s="44" t="s">
        <v>330</v>
      </c>
      <c r="G38" s="44" t="s">
        <v>37</v>
      </c>
      <c r="H38" s="53">
        <f t="shared" si="12"/>
        <v>4</v>
      </c>
      <c r="I38" s="44" t="s">
        <v>330</v>
      </c>
      <c r="J38" s="54" t="s">
        <v>37</v>
      </c>
      <c r="K38" s="53">
        <f t="shared" si="13"/>
        <v>4</v>
      </c>
      <c r="L38" s="44" t="s">
        <v>118</v>
      </c>
      <c r="M38" s="44" t="s">
        <v>119</v>
      </c>
      <c r="N38" s="17" t="s">
        <v>320</v>
      </c>
      <c r="O38" t="s">
        <v>333</v>
      </c>
      <c r="Q38" s="40">
        <f t="shared" si="21"/>
        <v>0</v>
      </c>
      <c r="R38" s="40">
        <f t="shared" si="21"/>
        <v>0</v>
      </c>
      <c r="S38" s="40">
        <f t="shared" si="21"/>
        <v>0</v>
      </c>
      <c r="T38" s="40">
        <f t="shared" si="21"/>
        <v>4</v>
      </c>
      <c r="U38" s="40">
        <f t="shared" si="21"/>
        <v>0</v>
      </c>
      <c r="V38" s="40">
        <f t="shared" si="21"/>
        <v>0</v>
      </c>
      <c r="X38" s="18" t="s">
        <v>326</v>
      </c>
      <c r="Z38" s="40">
        <f t="shared" si="14"/>
        <v>0</v>
      </c>
      <c r="AA38" s="40">
        <f t="shared" si="14"/>
        <v>0</v>
      </c>
      <c r="AB38" s="40">
        <f t="shared" si="14"/>
        <v>0</v>
      </c>
      <c r="AC38" s="40">
        <f t="shared" si="14"/>
        <v>0</v>
      </c>
      <c r="AD38" s="40">
        <f t="shared" si="14"/>
        <v>0</v>
      </c>
      <c r="AE38" s="40">
        <f t="shared" si="18"/>
        <v>0</v>
      </c>
      <c r="AG38" s="18"/>
      <c r="AI38" s="40">
        <f t="shared" si="15"/>
        <v>0</v>
      </c>
      <c r="AJ38" s="40">
        <f t="shared" si="15"/>
        <v>0</v>
      </c>
      <c r="AK38" s="40">
        <f t="shared" si="15"/>
        <v>0</v>
      </c>
      <c r="AL38" s="40">
        <f t="shared" si="15"/>
        <v>0</v>
      </c>
      <c r="AM38" s="40">
        <f t="shared" si="15"/>
        <v>0</v>
      </c>
      <c r="AN38" s="40">
        <f t="shared" si="19"/>
        <v>0</v>
      </c>
      <c r="AP38" s="18"/>
      <c r="AR38" s="40">
        <f t="shared" si="16"/>
        <v>0</v>
      </c>
      <c r="AS38" s="40">
        <f t="shared" si="16"/>
        <v>0</v>
      </c>
      <c r="AT38" s="40">
        <f t="shared" si="16"/>
        <v>0</v>
      </c>
      <c r="AU38" s="40">
        <f t="shared" si="16"/>
        <v>0</v>
      </c>
      <c r="AV38" s="40">
        <f t="shared" si="16"/>
        <v>0</v>
      </c>
      <c r="AW38" s="40">
        <f t="shared" si="20"/>
        <v>0</v>
      </c>
      <c r="AY38" s="18"/>
    </row>
    <row r="39" spans="2:53">
      <c r="B39" s="44" t="s">
        <v>101</v>
      </c>
      <c r="C39" s="57"/>
      <c r="D39" s="44">
        <v>61</v>
      </c>
      <c r="E39" s="44"/>
      <c r="F39" s="44" t="s">
        <v>70</v>
      </c>
      <c r="G39" s="44" t="s">
        <v>71</v>
      </c>
      <c r="H39" s="53">
        <f t="shared" si="12"/>
        <v>0</v>
      </c>
      <c r="I39" s="44" t="s">
        <v>70</v>
      </c>
      <c r="J39" s="54" t="s">
        <v>71</v>
      </c>
      <c r="K39" s="53">
        <f t="shared" si="13"/>
        <v>0</v>
      </c>
      <c r="L39" s="44" t="s">
        <v>120</v>
      </c>
      <c r="M39" s="44" t="s">
        <v>121</v>
      </c>
      <c r="N39" s="17" t="s">
        <v>320</v>
      </c>
      <c r="O39" t="s">
        <v>122</v>
      </c>
      <c r="Q39" s="40">
        <f t="shared" si="21"/>
        <v>0</v>
      </c>
      <c r="R39" s="40">
        <f t="shared" si="21"/>
        <v>0</v>
      </c>
      <c r="S39" s="40">
        <f t="shared" si="21"/>
        <v>0</v>
      </c>
      <c r="T39" s="40">
        <f t="shared" si="21"/>
        <v>0</v>
      </c>
      <c r="U39" s="40">
        <f t="shared" si="21"/>
        <v>0</v>
      </c>
      <c r="V39" s="40">
        <f t="shared" si="21"/>
        <v>0</v>
      </c>
      <c r="X39" s="18"/>
      <c r="Z39" s="40">
        <f t="shared" si="14"/>
        <v>0</v>
      </c>
      <c r="AA39" s="40">
        <f t="shared" si="14"/>
        <v>0</v>
      </c>
      <c r="AB39" s="40">
        <f t="shared" si="14"/>
        <v>0</v>
      </c>
      <c r="AC39" s="40">
        <f t="shared" si="14"/>
        <v>0</v>
      </c>
      <c r="AD39" s="40">
        <f t="shared" si="14"/>
        <v>0</v>
      </c>
      <c r="AE39" s="40">
        <f t="shared" si="18"/>
        <v>0</v>
      </c>
      <c r="AG39" s="18"/>
      <c r="AI39" s="40">
        <f t="shared" si="15"/>
        <v>0</v>
      </c>
      <c r="AJ39" s="40">
        <f t="shared" si="15"/>
        <v>0</v>
      </c>
      <c r="AK39" s="40">
        <f t="shared" si="15"/>
        <v>0</v>
      </c>
      <c r="AL39" s="40">
        <f t="shared" si="15"/>
        <v>0</v>
      </c>
      <c r="AM39" s="40">
        <f t="shared" si="15"/>
        <v>0</v>
      </c>
      <c r="AN39" s="40">
        <f t="shared" si="19"/>
        <v>0</v>
      </c>
      <c r="AP39" s="18"/>
      <c r="AR39" s="40">
        <f t="shared" si="16"/>
        <v>0</v>
      </c>
      <c r="AS39" s="40">
        <f t="shared" si="16"/>
        <v>0</v>
      </c>
      <c r="AT39" s="40">
        <f t="shared" si="16"/>
        <v>0</v>
      </c>
      <c r="AU39" s="40">
        <f t="shared" si="16"/>
        <v>0</v>
      </c>
      <c r="AV39" s="40">
        <f t="shared" si="16"/>
        <v>0</v>
      </c>
      <c r="AW39" s="40">
        <f t="shared" si="20"/>
        <v>0</v>
      </c>
      <c r="AY39" s="18"/>
      <c r="AZ39" t="s">
        <v>344</v>
      </c>
    </row>
    <row r="40" spans="2:53">
      <c r="B40" s="44" t="s">
        <v>101</v>
      </c>
      <c r="C40" s="57"/>
      <c r="D40" s="44"/>
      <c r="E40" s="44">
        <v>79</v>
      </c>
      <c r="F40" s="44" t="s">
        <v>71</v>
      </c>
      <c r="G40" s="44" t="s">
        <v>71</v>
      </c>
      <c r="H40" s="53">
        <f t="shared" si="12"/>
        <v>0</v>
      </c>
      <c r="I40" s="44" t="s">
        <v>46</v>
      </c>
      <c r="J40" s="54" t="s">
        <v>37</v>
      </c>
      <c r="K40" s="53">
        <f t="shared" si="13"/>
        <v>4</v>
      </c>
      <c r="L40" s="44" t="s">
        <v>123</v>
      </c>
      <c r="M40" s="44" t="s">
        <v>124</v>
      </c>
      <c r="N40" s="17" t="s">
        <v>320</v>
      </c>
      <c r="O40" t="s">
        <v>125</v>
      </c>
      <c r="Q40" s="40">
        <f t="shared" si="21"/>
        <v>0</v>
      </c>
      <c r="R40" s="40">
        <f t="shared" si="21"/>
        <v>0</v>
      </c>
      <c r="S40" s="40">
        <f t="shared" si="21"/>
        <v>0</v>
      </c>
      <c r="T40" s="40">
        <f t="shared" si="21"/>
        <v>0</v>
      </c>
      <c r="U40" s="40">
        <f t="shared" si="21"/>
        <v>0</v>
      </c>
      <c r="V40" s="40">
        <f t="shared" si="21"/>
        <v>0</v>
      </c>
      <c r="X40" s="18"/>
      <c r="Z40" s="40">
        <f t="shared" si="14"/>
        <v>0</v>
      </c>
      <c r="AA40" s="40">
        <f t="shared" si="14"/>
        <v>0</v>
      </c>
      <c r="AB40" s="40">
        <f t="shared" si="14"/>
        <v>0</v>
      </c>
      <c r="AC40" s="40">
        <f t="shared" si="14"/>
        <v>0</v>
      </c>
      <c r="AD40" s="40">
        <f t="shared" si="14"/>
        <v>0</v>
      </c>
      <c r="AE40" s="40">
        <f t="shared" si="18"/>
        <v>0</v>
      </c>
      <c r="AG40" s="18"/>
      <c r="AI40" s="40">
        <f t="shared" si="15"/>
        <v>0</v>
      </c>
      <c r="AJ40" s="40">
        <f t="shared" si="15"/>
        <v>0</v>
      </c>
      <c r="AK40" s="40">
        <f t="shared" si="15"/>
        <v>0</v>
      </c>
      <c r="AL40" s="40">
        <f t="shared" si="15"/>
        <v>0</v>
      </c>
      <c r="AM40" s="40">
        <f t="shared" si="15"/>
        <v>0</v>
      </c>
      <c r="AN40" s="40">
        <f t="shared" si="19"/>
        <v>0</v>
      </c>
      <c r="AP40" s="18"/>
      <c r="AR40" s="40">
        <f t="shared" si="16"/>
        <v>0</v>
      </c>
      <c r="AS40" s="40">
        <f t="shared" si="16"/>
        <v>0</v>
      </c>
      <c r="AT40" s="40">
        <f t="shared" si="16"/>
        <v>0</v>
      </c>
      <c r="AU40" s="40">
        <f t="shared" si="16"/>
        <v>0</v>
      </c>
      <c r="AV40" s="40">
        <f t="shared" si="16"/>
        <v>0</v>
      </c>
      <c r="AW40" s="40">
        <f t="shared" si="20"/>
        <v>0</v>
      </c>
      <c r="AY40" s="18"/>
      <c r="AZ40" t="s">
        <v>345</v>
      </c>
    </row>
    <row r="41" spans="2:53">
      <c r="B41" s="44" t="s">
        <v>126</v>
      </c>
      <c r="C41" s="57"/>
      <c r="D41" s="44">
        <v>8</v>
      </c>
      <c r="E41" s="44"/>
      <c r="F41" s="44" t="s">
        <v>41</v>
      </c>
      <c r="G41" s="44" t="s">
        <v>58</v>
      </c>
      <c r="H41" s="53">
        <f t="shared" si="12"/>
        <v>2</v>
      </c>
      <c r="I41" s="44" t="s">
        <v>41</v>
      </c>
      <c r="J41" s="54" t="s">
        <v>58</v>
      </c>
      <c r="K41" s="53">
        <f t="shared" si="13"/>
        <v>2</v>
      </c>
      <c r="L41" s="44" t="s">
        <v>127</v>
      </c>
      <c r="M41" s="44" t="s">
        <v>128</v>
      </c>
      <c r="N41" s="17" t="s">
        <v>320</v>
      </c>
      <c r="O41" t="s">
        <v>129</v>
      </c>
      <c r="Q41" s="40">
        <f t="shared" si="21"/>
        <v>2</v>
      </c>
      <c r="R41" s="40">
        <f t="shared" si="21"/>
        <v>0</v>
      </c>
      <c r="S41" s="40">
        <f t="shared" si="21"/>
        <v>0</v>
      </c>
      <c r="T41" s="40">
        <f t="shared" si="21"/>
        <v>0</v>
      </c>
      <c r="U41" s="40">
        <f t="shared" si="21"/>
        <v>0</v>
      </c>
      <c r="V41" s="40">
        <f t="shared" si="21"/>
        <v>0</v>
      </c>
      <c r="X41" s="18" t="s">
        <v>326</v>
      </c>
      <c r="Z41" s="40">
        <f t="shared" si="14"/>
        <v>0</v>
      </c>
      <c r="AA41" s="40">
        <f t="shared" si="14"/>
        <v>0</v>
      </c>
      <c r="AB41" s="40">
        <f t="shared" si="14"/>
        <v>0</v>
      </c>
      <c r="AC41" s="40">
        <f t="shared" si="14"/>
        <v>0</v>
      </c>
      <c r="AD41" s="40">
        <f t="shared" si="14"/>
        <v>0</v>
      </c>
      <c r="AE41" s="40">
        <f t="shared" si="18"/>
        <v>0</v>
      </c>
      <c r="AG41" s="18"/>
      <c r="AI41" s="40">
        <f t="shared" si="15"/>
        <v>0</v>
      </c>
      <c r="AJ41" s="40">
        <f t="shared" si="15"/>
        <v>0</v>
      </c>
      <c r="AK41" s="40">
        <f t="shared" si="15"/>
        <v>0</v>
      </c>
      <c r="AL41" s="40">
        <f t="shared" si="15"/>
        <v>0</v>
      </c>
      <c r="AM41" s="40">
        <f t="shared" si="15"/>
        <v>0</v>
      </c>
      <c r="AN41" s="40">
        <f t="shared" si="19"/>
        <v>0</v>
      </c>
      <c r="AP41" s="18"/>
      <c r="AR41" s="40">
        <f t="shared" si="16"/>
        <v>0</v>
      </c>
      <c r="AS41" s="40">
        <f t="shared" si="16"/>
        <v>0</v>
      </c>
      <c r="AT41" s="40">
        <f t="shared" si="16"/>
        <v>0</v>
      </c>
      <c r="AU41" s="40">
        <f t="shared" si="16"/>
        <v>0</v>
      </c>
      <c r="AV41" s="40">
        <f t="shared" si="16"/>
        <v>0</v>
      </c>
      <c r="AW41" s="40">
        <f t="shared" si="20"/>
        <v>0</v>
      </c>
      <c r="AY41" s="18"/>
    </row>
    <row r="42" spans="2:53">
      <c r="B42" s="44" t="s">
        <v>126</v>
      </c>
      <c r="C42" s="57"/>
      <c r="D42" s="44">
        <v>6</v>
      </c>
      <c r="E42" s="44"/>
      <c r="F42" s="44" t="s">
        <v>130</v>
      </c>
      <c r="G42" s="44" t="s">
        <v>71</v>
      </c>
      <c r="H42" s="53">
        <f t="shared" si="12"/>
        <v>0</v>
      </c>
      <c r="I42" s="44" t="s">
        <v>130</v>
      </c>
      <c r="J42" s="54" t="s">
        <v>71</v>
      </c>
      <c r="K42" s="53">
        <f t="shared" si="13"/>
        <v>0</v>
      </c>
      <c r="L42" s="44" t="s">
        <v>131</v>
      </c>
      <c r="M42" s="44" t="s">
        <v>132</v>
      </c>
      <c r="N42" s="17" t="s">
        <v>320</v>
      </c>
      <c r="O42" t="s">
        <v>133</v>
      </c>
      <c r="Q42" s="40">
        <f t="shared" si="21"/>
        <v>0</v>
      </c>
      <c r="R42" s="40">
        <f t="shared" si="21"/>
        <v>0</v>
      </c>
      <c r="S42" s="40">
        <f t="shared" si="21"/>
        <v>0</v>
      </c>
      <c r="T42" s="40">
        <f t="shared" si="21"/>
        <v>0</v>
      </c>
      <c r="U42" s="40">
        <f t="shared" si="21"/>
        <v>0</v>
      </c>
      <c r="V42" s="40">
        <f t="shared" si="21"/>
        <v>0</v>
      </c>
      <c r="X42" s="18" t="s">
        <v>326</v>
      </c>
      <c r="Z42" s="40">
        <f t="shared" si="14"/>
        <v>0</v>
      </c>
      <c r="AA42" s="40">
        <f t="shared" si="14"/>
        <v>0</v>
      </c>
      <c r="AB42" s="40">
        <f t="shared" si="14"/>
        <v>0</v>
      </c>
      <c r="AC42" s="40">
        <f t="shared" si="14"/>
        <v>0</v>
      </c>
      <c r="AD42" s="40">
        <f t="shared" si="14"/>
        <v>0</v>
      </c>
      <c r="AE42" s="40">
        <f t="shared" si="18"/>
        <v>0</v>
      </c>
      <c r="AG42" s="18"/>
      <c r="AI42" s="40">
        <f t="shared" si="15"/>
        <v>0</v>
      </c>
      <c r="AJ42" s="40">
        <f t="shared" si="15"/>
        <v>0</v>
      </c>
      <c r="AK42" s="40">
        <f t="shared" si="15"/>
        <v>0</v>
      </c>
      <c r="AL42" s="40">
        <f t="shared" si="15"/>
        <v>0</v>
      </c>
      <c r="AM42" s="40">
        <f t="shared" si="15"/>
        <v>0</v>
      </c>
      <c r="AN42" s="40">
        <f t="shared" si="19"/>
        <v>0</v>
      </c>
      <c r="AP42" s="18"/>
      <c r="AR42" s="40">
        <f t="shared" si="16"/>
        <v>0</v>
      </c>
      <c r="AS42" s="40">
        <f t="shared" si="16"/>
        <v>0</v>
      </c>
      <c r="AT42" s="40">
        <f t="shared" si="16"/>
        <v>0</v>
      </c>
      <c r="AU42" s="40">
        <f t="shared" si="16"/>
        <v>0</v>
      </c>
      <c r="AV42" s="40">
        <f t="shared" si="16"/>
        <v>0</v>
      </c>
      <c r="AW42" s="40">
        <f t="shared" si="20"/>
        <v>0</v>
      </c>
      <c r="AY42" s="18"/>
    </row>
    <row r="43" spans="2:53">
      <c r="B43" s="44" t="s">
        <v>126</v>
      </c>
      <c r="C43" s="57"/>
      <c r="D43" s="44">
        <v>7</v>
      </c>
      <c r="E43" s="44"/>
      <c r="F43" s="44" t="s">
        <v>329</v>
      </c>
      <c r="G43" s="44" t="s">
        <v>58</v>
      </c>
      <c r="H43" s="53">
        <f t="shared" si="12"/>
        <v>2</v>
      </c>
      <c r="I43" s="44" t="s">
        <v>329</v>
      </c>
      <c r="J43" s="54" t="s">
        <v>58</v>
      </c>
      <c r="K43" s="53">
        <f t="shared" si="13"/>
        <v>2</v>
      </c>
      <c r="L43" s="44" t="s">
        <v>134</v>
      </c>
      <c r="M43" s="44" t="s">
        <v>135</v>
      </c>
      <c r="N43" s="17" t="s">
        <v>320</v>
      </c>
      <c r="O43" t="s">
        <v>136</v>
      </c>
      <c r="Q43" s="40">
        <f t="shared" ref="Q43:V52" si="22">IF(AND($X43="x",$F43=Q$1),$H43,0)</f>
        <v>0</v>
      </c>
      <c r="R43" s="40">
        <f t="shared" si="22"/>
        <v>0</v>
      </c>
      <c r="S43" s="40">
        <f t="shared" si="22"/>
        <v>2</v>
      </c>
      <c r="T43" s="40">
        <f t="shared" si="22"/>
        <v>0</v>
      </c>
      <c r="U43" s="40">
        <f t="shared" si="22"/>
        <v>0</v>
      </c>
      <c r="V43" s="40">
        <f t="shared" si="22"/>
        <v>0</v>
      </c>
      <c r="X43" s="18" t="s">
        <v>326</v>
      </c>
      <c r="Z43" s="40">
        <f t="shared" si="14"/>
        <v>0</v>
      </c>
      <c r="AA43" s="40">
        <f t="shared" si="14"/>
        <v>0</v>
      </c>
      <c r="AB43" s="40">
        <f t="shared" si="14"/>
        <v>2</v>
      </c>
      <c r="AC43" s="40">
        <f t="shared" si="14"/>
        <v>0</v>
      </c>
      <c r="AD43" s="40">
        <f t="shared" si="14"/>
        <v>0</v>
      </c>
      <c r="AE43" s="40">
        <f t="shared" si="18"/>
        <v>0</v>
      </c>
      <c r="AG43" s="18" t="s">
        <v>326</v>
      </c>
      <c r="AI43" s="40">
        <f t="shared" si="15"/>
        <v>0</v>
      </c>
      <c r="AJ43" s="40">
        <f t="shared" si="15"/>
        <v>0</v>
      </c>
      <c r="AK43" s="40">
        <f t="shared" si="15"/>
        <v>0</v>
      </c>
      <c r="AL43" s="40">
        <f t="shared" si="15"/>
        <v>0</v>
      </c>
      <c r="AM43" s="40">
        <f t="shared" si="15"/>
        <v>0</v>
      </c>
      <c r="AN43" s="40">
        <f t="shared" si="19"/>
        <v>0</v>
      </c>
      <c r="AP43" s="18"/>
      <c r="AR43" s="40">
        <f t="shared" si="16"/>
        <v>0</v>
      </c>
      <c r="AS43" s="40">
        <f t="shared" si="16"/>
        <v>0</v>
      </c>
      <c r="AT43" s="40">
        <f t="shared" si="16"/>
        <v>0</v>
      </c>
      <c r="AU43" s="40">
        <f t="shared" si="16"/>
        <v>0</v>
      </c>
      <c r="AV43" s="40">
        <f t="shared" si="16"/>
        <v>0</v>
      </c>
      <c r="AW43" s="40">
        <f t="shared" si="20"/>
        <v>0</v>
      </c>
      <c r="AY43" s="18"/>
    </row>
    <row r="44" spans="2:53">
      <c r="B44" s="44" t="s">
        <v>126</v>
      </c>
      <c r="C44" s="57"/>
      <c r="D44" s="44">
        <v>4</v>
      </c>
      <c r="E44" s="44"/>
      <c r="F44" s="44" t="s">
        <v>53</v>
      </c>
      <c r="G44" s="44" t="s">
        <v>58</v>
      </c>
      <c r="H44" s="53">
        <f t="shared" si="12"/>
        <v>2</v>
      </c>
      <c r="I44" s="44" t="s">
        <v>53</v>
      </c>
      <c r="J44" s="54" t="s">
        <v>58</v>
      </c>
      <c r="K44" s="53">
        <f t="shared" si="13"/>
        <v>2</v>
      </c>
      <c r="L44" s="44" t="s">
        <v>137</v>
      </c>
      <c r="M44" s="44" t="s">
        <v>138</v>
      </c>
      <c r="N44" s="17" t="s">
        <v>320</v>
      </c>
      <c r="O44" t="s">
        <v>139</v>
      </c>
      <c r="Q44" s="40">
        <f t="shared" si="22"/>
        <v>0</v>
      </c>
      <c r="R44" s="40">
        <f t="shared" si="22"/>
        <v>0</v>
      </c>
      <c r="S44" s="40">
        <f t="shared" si="22"/>
        <v>0</v>
      </c>
      <c r="T44" s="40">
        <f t="shared" si="22"/>
        <v>0</v>
      </c>
      <c r="U44" s="40">
        <f t="shared" si="22"/>
        <v>2</v>
      </c>
      <c r="V44" s="40">
        <f t="shared" si="22"/>
        <v>0</v>
      </c>
      <c r="X44" s="18" t="s">
        <v>326</v>
      </c>
      <c r="Z44" s="40">
        <f t="shared" si="14"/>
        <v>0</v>
      </c>
      <c r="AA44" s="40">
        <f t="shared" si="14"/>
        <v>0</v>
      </c>
      <c r="AB44" s="40">
        <f t="shared" si="14"/>
        <v>0</v>
      </c>
      <c r="AC44" s="40">
        <f t="shared" si="14"/>
        <v>0</v>
      </c>
      <c r="AD44" s="40">
        <f t="shared" si="14"/>
        <v>0</v>
      </c>
      <c r="AE44" s="40">
        <f t="shared" si="18"/>
        <v>0</v>
      </c>
      <c r="AG44" s="18"/>
      <c r="AI44" s="40">
        <f t="shared" si="15"/>
        <v>0</v>
      </c>
      <c r="AJ44" s="40">
        <f t="shared" si="15"/>
        <v>0</v>
      </c>
      <c r="AK44" s="40">
        <f t="shared" si="15"/>
        <v>0</v>
      </c>
      <c r="AL44" s="40">
        <f t="shared" si="15"/>
        <v>0</v>
      </c>
      <c r="AM44" s="40">
        <f t="shared" si="15"/>
        <v>0</v>
      </c>
      <c r="AN44" s="40">
        <f t="shared" si="19"/>
        <v>0</v>
      </c>
      <c r="AP44" s="18"/>
      <c r="AR44" s="40">
        <f t="shared" si="16"/>
        <v>0</v>
      </c>
      <c r="AS44" s="40">
        <f t="shared" si="16"/>
        <v>0</v>
      </c>
      <c r="AT44" s="40">
        <f t="shared" si="16"/>
        <v>0</v>
      </c>
      <c r="AU44" s="40">
        <f t="shared" si="16"/>
        <v>0</v>
      </c>
      <c r="AV44" s="40">
        <f t="shared" si="16"/>
        <v>0</v>
      </c>
      <c r="AW44" s="40">
        <f t="shared" si="20"/>
        <v>0</v>
      </c>
      <c r="AY44" s="18"/>
    </row>
    <row r="45" spans="2:53">
      <c r="B45" s="44" t="s">
        <v>126</v>
      </c>
      <c r="C45" s="57"/>
      <c r="D45" s="44">
        <v>5</v>
      </c>
      <c r="E45" s="44"/>
      <c r="F45" s="44" t="s">
        <v>330</v>
      </c>
      <c r="G45" s="44" t="s">
        <v>58</v>
      </c>
      <c r="H45" s="53">
        <f t="shared" si="12"/>
        <v>2</v>
      </c>
      <c r="I45" s="44" t="s">
        <v>330</v>
      </c>
      <c r="J45" s="54" t="s">
        <v>58</v>
      </c>
      <c r="K45" s="53">
        <f t="shared" si="13"/>
        <v>2</v>
      </c>
      <c r="L45" s="44" t="s">
        <v>140</v>
      </c>
      <c r="M45" s="44" t="s">
        <v>141</v>
      </c>
      <c r="N45" s="17" t="s">
        <v>320</v>
      </c>
      <c r="O45" t="s">
        <v>334</v>
      </c>
      <c r="Q45" s="40">
        <f t="shared" si="22"/>
        <v>0</v>
      </c>
      <c r="R45" s="40">
        <f t="shared" si="22"/>
        <v>0</v>
      </c>
      <c r="S45" s="40">
        <f t="shared" si="22"/>
        <v>0</v>
      </c>
      <c r="T45" s="40">
        <f t="shared" si="22"/>
        <v>2</v>
      </c>
      <c r="U45" s="40">
        <f t="shared" si="22"/>
        <v>0</v>
      </c>
      <c r="V45" s="40">
        <f t="shared" si="22"/>
        <v>0</v>
      </c>
      <c r="X45" s="18" t="s">
        <v>326</v>
      </c>
      <c r="Z45" s="40">
        <f t="shared" si="14"/>
        <v>0</v>
      </c>
      <c r="AA45" s="40">
        <f t="shared" si="14"/>
        <v>0</v>
      </c>
      <c r="AB45" s="40">
        <f t="shared" si="14"/>
        <v>0</v>
      </c>
      <c r="AC45" s="40">
        <f t="shared" si="14"/>
        <v>0</v>
      </c>
      <c r="AD45" s="40">
        <f t="shared" si="14"/>
        <v>0</v>
      </c>
      <c r="AE45" s="40">
        <f t="shared" si="18"/>
        <v>0</v>
      </c>
      <c r="AG45" s="18"/>
      <c r="AI45" s="40">
        <f t="shared" si="15"/>
        <v>0</v>
      </c>
      <c r="AJ45" s="40">
        <f t="shared" si="15"/>
        <v>0</v>
      </c>
      <c r="AK45" s="40">
        <f t="shared" si="15"/>
        <v>0</v>
      </c>
      <c r="AL45" s="40">
        <f t="shared" si="15"/>
        <v>0</v>
      </c>
      <c r="AM45" s="40">
        <f t="shared" si="15"/>
        <v>0</v>
      </c>
      <c r="AN45" s="40">
        <f t="shared" si="19"/>
        <v>0</v>
      </c>
      <c r="AP45" s="18"/>
      <c r="AR45" s="40">
        <f t="shared" si="16"/>
        <v>0</v>
      </c>
      <c r="AS45" s="40">
        <f t="shared" si="16"/>
        <v>0</v>
      </c>
      <c r="AT45" s="40">
        <f t="shared" si="16"/>
        <v>0</v>
      </c>
      <c r="AU45" s="40">
        <f t="shared" si="16"/>
        <v>0</v>
      </c>
      <c r="AV45" s="40">
        <f t="shared" si="16"/>
        <v>0</v>
      </c>
      <c r="AW45" s="40">
        <f t="shared" si="20"/>
        <v>0</v>
      </c>
      <c r="AY45" s="18"/>
    </row>
    <row r="46" spans="2:53" ht="30">
      <c r="B46" s="44" t="s">
        <v>142</v>
      </c>
      <c r="C46" s="57" t="s">
        <v>366</v>
      </c>
      <c r="D46" s="44"/>
      <c r="E46" s="44">
        <v>19</v>
      </c>
      <c r="F46" s="44"/>
      <c r="G46" s="44"/>
      <c r="H46" s="53">
        <f t="shared" si="12"/>
        <v>0</v>
      </c>
      <c r="I46" s="44" t="s">
        <v>329</v>
      </c>
      <c r="J46" s="54" t="s">
        <v>58</v>
      </c>
      <c r="K46" s="53">
        <f t="shared" si="13"/>
        <v>2</v>
      </c>
      <c r="L46" s="44" t="s">
        <v>143</v>
      </c>
      <c r="M46" s="44" t="s">
        <v>144</v>
      </c>
      <c r="N46" s="17" t="s">
        <v>320</v>
      </c>
      <c r="O46" t="s">
        <v>145</v>
      </c>
      <c r="Q46" s="40">
        <f t="shared" si="22"/>
        <v>0</v>
      </c>
      <c r="R46" s="40">
        <f t="shared" si="22"/>
        <v>0</v>
      </c>
      <c r="S46" s="40">
        <f t="shared" si="22"/>
        <v>0</v>
      </c>
      <c r="T46" s="40">
        <f t="shared" si="22"/>
        <v>0</v>
      </c>
      <c r="U46" s="40">
        <f t="shared" si="22"/>
        <v>0</v>
      </c>
      <c r="V46" s="40">
        <f t="shared" si="22"/>
        <v>0</v>
      </c>
      <c r="X46" s="18"/>
      <c r="Z46" s="40">
        <f t="shared" si="14"/>
        <v>0</v>
      </c>
      <c r="AA46" s="40">
        <f t="shared" si="14"/>
        <v>0</v>
      </c>
      <c r="AB46" s="40">
        <f t="shared" si="14"/>
        <v>0</v>
      </c>
      <c r="AC46" s="40">
        <f t="shared" si="14"/>
        <v>0</v>
      </c>
      <c r="AD46" s="40">
        <f t="shared" si="14"/>
        <v>0</v>
      </c>
      <c r="AE46" s="40">
        <f t="shared" si="18"/>
        <v>0</v>
      </c>
      <c r="AG46" s="18"/>
      <c r="AI46" s="40">
        <f t="shared" si="15"/>
        <v>0</v>
      </c>
      <c r="AJ46" s="40">
        <f t="shared" si="15"/>
        <v>0</v>
      </c>
      <c r="AK46" s="40">
        <f t="shared" si="15"/>
        <v>2</v>
      </c>
      <c r="AL46" s="40">
        <f t="shared" si="15"/>
        <v>0</v>
      </c>
      <c r="AM46" s="40">
        <f t="shared" si="15"/>
        <v>0</v>
      </c>
      <c r="AN46" s="40">
        <f t="shared" si="19"/>
        <v>0</v>
      </c>
      <c r="AP46" s="18" t="s">
        <v>326</v>
      </c>
      <c r="AR46" s="40">
        <f t="shared" si="16"/>
        <v>0</v>
      </c>
      <c r="AS46" s="40">
        <f t="shared" si="16"/>
        <v>0</v>
      </c>
      <c r="AT46" s="40">
        <f t="shared" si="16"/>
        <v>2</v>
      </c>
      <c r="AU46" s="40">
        <f t="shared" si="16"/>
        <v>0</v>
      </c>
      <c r="AV46" s="40">
        <f t="shared" si="16"/>
        <v>0</v>
      </c>
      <c r="AW46" s="40">
        <f t="shared" si="20"/>
        <v>0</v>
      </c>
      <c r="AY46" s="18" t="s">
        <v>326</v>
      </c>
      <c r="BA46" t="s">
        <v>366</v>
      </c>
    </row>
    <row r="47" spans="2:53" ht="30">
      <c r="B47" s="44" t="s">
        <v>142</v>
      </c>
      <c r="C47" s="57" t="s">
        <v>360</v>
      </c>
      <c r="D47" s="44"/>
      <c r="E47" s="44">
        <v>21</v>
      </c>
      <c r="F47" s="44"/>
      <c r="G47" s="44"/>
      <c r="H47" s="53">
        <f t="shared" si="12"/>
        <v>0</v>
      </c>
      <c r="I47" s="44" t="s">
        <v>41</v>
      </c>
      <c r="J47" s="54" t="s">
        <v>58</v>
      </c>
      <c r="K47" s="53">
        <f t="shared" si="13"/>
        <v>2</v>
      </c>
      <c r="L47" s="44" t="s">
        <v>146</v>
      </c>
      <c r="M47" s="44" t="s">
        <v>147</v>
      </c>
      <c r="N47" s="17" t="s">
        <v>320</v>
      </c>
      <c r="O47" t="s">
        <v>148</v>
      </c>
      <c r="Q47" s="40">
        <f t="shared" si="22"/>
        <v>0</v>
      </c>
      <c r="R47" s="40">
        <f t="shared" si="22"/>
        <v>0</v>
      </c>
      <c r="S47" s="40">
        <f t="shared" si="22"/>
        <v>0</v>
      </c>
      <c r="T47" s="40">
        <f t="shared" si="22"/>
        <v>0</v>
      </c>
      <c r="U47" s="40">
        <f t="shared" si="22"/>
        <v>0</v>
      </c>
      <c r="V47" s="40">
        <f t="shared" si="22"/>
        <v>0</v>
      </c>
      <c r="X47" s="18"/>
      <c r="Z47" s="40">
        <f t="shared" si="14"/>
        <v>0</v>
      </c>
      <c r="AA47" s="40">
        <f t="shared" si="14"/>
        <v>0</v>
      </c>
      <c r="AB47" s="40">
        <f t="shared" si="14"/>
        <v>0</v>
      </c>
      <c r="AC47" s="40">
        <f t="shared" si="14"/>
        <v>0</v>
      </c>
      <c r="AD47" s="40">
        <f t="shared" si="14"/>
        <v>0</v>
      </c>
      <c r="AE47" s="40">
        <f t="shared" si="18"/>
        <v>0</v>
      </c>
      <c r="AG47" s="18"/>
      <c r="AI47" s="40">
        <f t="shared" si="15"/>
        <v>2</v>
      </c>
      <c r="AJ47" s="40">
        <f t="shared" si="15"/>
        <v>0</v>
      </c>
      <c r="AK47" s="40">
        <f t="shared" si="15"/>
        <v>0</v>
      </c>
      <c r="AL47" s="40">
        <f t="shared" si="15"/>
        <v>0</v>
      </c>
      <c r="AM47" s="40">
        <f t="shared" si="15"/>
        <v>0</v>
      </c>
      <c r="AN47" s="40">
        <f t="shared" si="19"/>
        <v>0</v>
      </c>
      <c r="AP47" s="18" t="s">
        <v>326</v>
      </c>
      <c r="AR47" s="40">
        <f t="shared" si="16"/>
        <v>2</v>
      </c>
      <c r="AS47" s="40">
        <f t="shared" si="16"/>
        <v>0</v>
      </c>
      <c r="AT47" s="40">
        <f t="shared" si="16"/>
        <v>0</v>
      </c>
      <c r="AU47" s="40">
        <f t="shared" si="16"/>
        <v>0</v>
      </c>
      <c r="AV47" s="40">
        <f t="shared" si="16"/>
        <v>0</v>
      </c>
      <c r="AW47" s="40">
        <f t="shared" si="20"/>
        <v>0</v>
      </c>
      <c r="AY47" s="18" t="s">
        <v>326</v>
      </c>
      <c r="BA47" t="s">
        <v>360</v>
      </c>
    </row>
    <row r="48" spans="2:53" ht="30">
      <c r="B48" s="44" t="s">
        <v>142</v>
      </c>
      <c r="C48" s="57" t="s">
        <v>365</v>
      </c>
      <c r="D48" s="44"/>
      <c r="E48" s="44">
        <v>22</v>
      </c>
      <c r="F48" s="44"/>
      <c r="G48" s="44"/>
      <c r="H48" s="53">
        <f t="shared" si="12"/>
        <v>0</v>
      </c>
      <c r="I48" s="44" t="s">
        <v>330</v>
      </c>
      <c r="J48" s="54" t="s">
        <v>58</v>
      </c>
      <c r="K48" s="53">
        <f t="shared" si="13"/>
        <v>2</v>
      </c>
      <c r="L48" s="44" t="s">
        <v>149</v>
      </c>
      <c r="M48" s="44" t="s">
        <v>150</v>
      </c>
      <c r="N48" s="17" t="s">
        <v>320</v>
      </c>
      <c r="O48" t="s">
        <v>335</v>
      </c>
      <c r="Q48" s="40">
        <f t="shared" si="22"/>
        <v>0</v>
      </c>
      <c r="R48" s="40">
        <f t="shared" si="22"/>
        <v>0</v>
      </c>
      <c r="S48" s="40">
        <f t="shared" si="22"/>
        <v>0</v>
      </c>
      <c r="T48" s="40">
        <f t="shared" si="22"/>
        <v>0</v>
      </c>
      <c r="U48" s="40">
        <f t="shared" si="22"/>
        <v>0</v>
      </c>
      <c r="V48" s="40">
        <f t="shared" si="22"/>
        <v>0</v>
      </c>
      <c r="X48" s="18"/>
      <c r="Z48" s="40">
        <f t="shared" si="14"/>
        <v>0</v>
      </c>
      <c r="AA48" s="40">
        <f t="shared" si="14"/>
        <v>0</v>
      </c>
      <c r="AB48" s="40">
        <f t="shared" si="14"/>
        <v>0</v>
      </c>
      <c r="AC48" s="40">
        <f t="shared" si="14"/>
        <v>0</v>
      </c>
      <c r="AD48" s="40">
        <f t="shared" si="14"/>
        <v>0</v>
      </c>
      <c r="AE48" s="40">
        <f t="shared" si="18"/>
        <v>0</v>
      </c>
      <c r="AG48" s="18"/>
      <c r="AI48" s="40">
        <f t="shared" si="15"/>
        <v>0</v>
      </c>
      <c r="AJ48" s="40">
        <f t="shared" si="15"/>
        <v>0</v>
      </c>
      <c r="AK48" s="40">
        <f t="shared" si="15"/>
        <v>0</v>
      </c>
      <c r="AL48" s="40">
        <f t="shared" si="15"/>
        <v>2</v>
      </c>
      <c r="AM48" s="40">
        <f t="shared" si="15"/>
        <v>0</v>
      </c>
      <c r="AN48" s="40">
        <f t="shared" si="19"/>
        <v>0</v>
      </c>
      <c r="AP48" s="18" t="s">
        <v>326</v>
      </c>
      <c r="AR48" s="40">
        <f t="shared" si="16"/>
        <v>0</v>
      </c>
      <c r="AS48" s="40">
        <f t="shared" si="16"/>
        <v>0</v>
      </c>
      <c r="AT48" s="40">
        <f t="shared" si="16"/>
        <v>0</v>
      </c>
      <c r="AU48" s="40">
        <f t="shared" si="16"/>
        <v>2</v>
      </c>
      <c r="AV48" s="40">
        <f t="shared" si="16"/>
        <v>0</v>
      </c>
      <c r="AW48" s="40">
        <f t="shared" si="20"/>
        <v>0</v>
      </c>
      <c r="AY48" s="18" t="s">
        <v>326</v>
      </c>
      <c r="BA48" t="s">
        <v>365</v>
      </c>
    </row>
    <row r="49" spans="2:53" ht="30">
      <c r="B49" s="44" t="s">
        <v>142</v>
      </c>
      <c r="C49" s="57" t="s">
        <v>361</v>
      </c>
      <c r="D49" s="44"/>
      <c r="E49" s="44">
        <v>18</v>
      </c>
      <c r="F49" s="44"/>
      <c r="G49" s="44"/>
      <c r="H49" s="53">
        <f t="shared" si="12"/>
        <v>0</v>
      </c>
      <c r="I49" s="44" t="s">
        <v>130</v>
      </c>
      <c r="J49" s="54" t="s">
        <v>71</v>
      </c>
      <c r="K49" s="53">
        <f t="shared" si="13"/>
        <v>0</v>
      </c>
      <c r="L49" s="44" t="s">
        <v>151</v>
      </c>
      <c r="M49" s="44" t="s">
        <v>152</v>
      </c>
      <c r="N49" s="17" t="s">
        <v>320</v>
      </c>
      <c r="O49" t="s">
        <v>153</v>
      </c>
      <c r="Q49" s="40">
        <f t="shared" si="22"/>
        <v>0</v>
      </c>
      <c r="R49" s="40">
        <f t="shared" si="22"/>
        <v>0</v>
      </c>
      <c r="S49" s="40">
        <f t="shared" si="22"/>
        <v>0</v>
      </c>
      <c r="T49" s="40">
        <f t="shared" si="22"/>
        <v>0</v>
      </c>
      <c r="U49" s="40">
        <f t="shared" si="22"/>
        <v>0</v>
      </c>
      <c r="V49" s="40">
        <f t="shared" si="22"/>
        <v>0</v>
      </c>
      <c r="X49" s="18"/>
      <c r="Z49" s="40">
        <f t="shared" si="14"/>
        <v>0</v>
      </c>
      <c r="AA49" s="40">
        <f t="shared" si="14"/>
        <v>0</v>
      </c>
      <c r="AB49" s="40">
        <f t="shared" si="14"/>
        <v>0</v>
      </c>
      <c r="AC49" s="40">
        <f t="shared" si="14"/>
        <v>0</v>
      </c>
      <c r="AD49" s="40">
        <f t="shared" si="14"/>
        <v>0</v>
      </c>
      <c r="AE49" s="40">
        <f t="shared" si="18"/>
        <v>0</v>
      </c>
      <c r="AG49" s="18"/>
      <c r="AI49" s="40">
        <f t="shared" si="15"/>
        <v>0</v>
      </c>
      <c r="AJ49" s="40">
        <f t="shared" si="15"/>
        <v>0</v>
      </c>
      <c r="AK49" s="40">
        <f t="shared" si="15"/>
        <v>0</v>
      </c>
      <c r="AL49" s="40">
        <f t="shared" si="15"/>
        <v>0</v>
      </c>
      <c r="AM49" s="40">
        <f t="shared" si="15"/>
        <v>0</v>
      </c>
      <c r="AN49" s="40">
        <f t="shared" si="19"/>
        <v>0</v>
      </c>
      <c r="AP49" s="18" t="s">
        <v>326</v>
      </c>
      <c r="AR49" s="40">
        <f t="shared" si="16"/>
        <v>0</v>
      </c>
      <c r="AS49" s="40">
        <f t="shared" si="16"/>
        <v>0</v>
      </c>
      <c r="AT49" s="40">
        <f t="shared" si="16"/>
        <v>0</v>
      </c>
      <c r="AU49" s="40">
        <f t="shared" si="16"/>
        <v>0</v>
      </c>
      <c r="AV49" s="40">
        <f t="shared" si="16"/>
        <v>0</v>
      </c>
      <c r="AW49" s="40">
        <f t="shared" si="20"/>
        <v>0</v>
      </c>
      <c r="AY49" s="18" t="s">
        <v>326</v>
      </c>
      <c r="BA49" t="s">
        <v>361</v>
      </c>
    </row>
    <row r="50" spans="2:53">
      <c r="B50" s="44" t="s">
        <v>142</v>
      </c>
      <c r="C50" s="57" t="s">
        <v>362</v>
      </c>
      <c r="D50" s="44"/>
      <c r="E50" s="44">
        <v>20</v>
      </c>
      <c r="F50" s="44"/>
      <c r="G50" s="44"/>
      <c r="H50" s="53">
        <f t="shared" si="12"/>
        <v>0</v>
      </c>
      <c r="I50" s="44" t="s">
        <v>53</v>
      </c>
      <c r="J50" s="54" t="s">
        <v>58</v>
      </c>
      <c r="K50" s="53">
        <f t="shared" si="13"/>
        <v>2</v>
      </c>
      <c r="L50" s="44" t="s">
        <v>154</v>
      </c>
      <c r="M50" s="44" t="s">
        <v>155</v>
      </c>
      <c r="N50" s="17" t="s">
        <v>320</v>
      </c>
      <c r="O50" t="s">
        <v>156</v>
      </c>
      <c r="Q50" s="40">
        <f t="shared" si="22"/>
        <v>0</v>
      </c>
      <c r="R50" s="40">
        <f t="shared" si="22"/>
        <v>0</v>
      </c>
      <c r="S50" s="40">
        <f t="shared" si="22"/>
        <v>0</v>
      </c>
      <c r="T50" s="40">
        <f t="shared" si="22"/>
        <v>0</v>
      </c>
      <c r="U50" s="40">
        <f t="shared" si="22"/>
        <v>0</v>
      </c>
      <c r="V50" s="40">
        <f t="shared" si="22"/>
        <v>0</v>
      </c>
      <c r="X50" s="18"/>
      <c r="Z50" s="40">
        <f t="shared" si="14"/>
        <v>0</v>
      </c>
      <c r="AA50" s="40">
        <f t="shared" si="14"/>
        <v>0</v>
      </c>
      <c r="AB50" s="40">
        <f t="shared" si="14"/>
        <v>0</v>
      </c>
      <c r="AC50" s="40">
        <f t="shared" si="14"/>
        <v>0</v>
      </c>
      <c r="AD50" s="40">
        <f t="shared" si="14"/>
        <v>0</v>
      </c>
      <c r="AE50" s="40">
        <f t="shared" si="18"/>
        <v>0</v>
      </c>
      <c r="AG50" s="18"/>
      <c r="AI50" s="40">
        <f t="shared" si="15"/>
        <v>0</v>
      </c>
      <c r="AJ50" s="40">
        <f t="shared" si="15"/>
        <v>0</v>
      </c>
      <c r="AK50" s="40">
        <f t="shared" si="15"/>
        <v>0</v>
      </c>
      <c r="AL50" s="40">
        <f t="shared" si="15"/>
        <v>0</v>
      </c>
      <c r="AM50" s="40">
        <f t="shared" si="15"/>
        <v>2</v>
      </c>
      <c r="AN50" s="40">
        <f t="shared" si="19"/>
        <v>0</v>
      </c>
      <c r="AP50" s="18" t="s">
        <v>326</v>
      </c>
      <c r="AR50" s="40">
        <f t="shared" si="16"/>
        <v>0</v>
      </c>
      <c r="AS50" s="40">
        <f t="shared" si="16"/>
        <v>0</v>
      </c>
      <c r="AT50" s="40">
        <f t="shared" si="16"/>
        <v>0</v>
      </c>
      <c r="AU50" s="40">
        <f t="shared" si="16"/>
        <v>0</v>
      </c>
      <c r="AV50" s="40">
        <f t="shared" si="16"/>
        <v>2</v>
      </c>
      <c r="AW50" s="40">
        <f t="shared" si="20"/>
        <v>0</v>
      </c>
      <c r="AY50" s="18" t="s">
        <v>326</v>
      </c>
      <c r="BA50" t="s">
        <v>362</v>
      </c>
    </row>
    <row r="51" spans="2:53">
      <c r="B51" s="44" t="s">
        <v>157</v>
      </c>
      <c r="C51" s="57"/>
      <c r="D51" s="44">
        <v>65</v>
      </c>
      <c r="E51" s="44"/>
      <c r="F51" s="44" t="s">
        <v>41</v>
      </c>
      <c r="G51" s="44" t="s">
        <v>37</v>
      </c>
      <c r="H51" s="53">
        <f t="shared" si="12"/>
        <v>4</v>
      </c>
      <c r="I51" s="44" t="s">
        <v>41</v>
      </c>
      <c r="J51" s="54" t="s">
        <v>37</v>
      </c>
      <c r="K51" s="53">
        <f t="shared" si="13"/>
        <v>4</v>
      </c>
      <c r="L51" s="44" t="s">
        <v>158</v>
      </c>
      <c r="M51" s="44" t="s">
        <v>159</v>
      </c>
      <c r="N51" s="17" t="s">
        <v>320</v>
      </c>
      <c r="O51" t="s">
        <v>160</v>
      </c>
      <c r="Q51" s="40">
        <f t="shared" si="22"/>
        <v>4</v>
      </c>
      <c r="R51" s="40">
        <f t="shared" si="22"/>
        <v>0</v>
      </c>
      <c r="S51" s="40">
        <f t="shared" si="22"/>
        <v>0</v>
      </c>
      <c r="T51" s="40">
        <f t="shared" si="22"/>
        <v>0</v>
      </c>
      <c r="U51" s="40">
        <f t="shared" si="22"/>
        <v>0</v>
      </c>
      <c r="V51" s="40">
        <f t="shared" si="22"/>
        <v>0</v>
      </c>
      <c r="X51" s="18" t="s">
        <v>326</v>
      </c>
      <c r="Z51" s="40">
        <f t="shared" si="14"/>
        <v>0</v>
      </c>
      <c r="AA51" s="40">
        <f t="shared" si="14"/>
        <v>0</v>
      </c>
      <c r="AB51" s="40">
        <f t="shared" si="14"/>
        <v>0</v>
      </c>
      <c r="AC51" s="40">
        <f t="shared" si="14"/>
        <v>0</v>
      </c>
      <c r="AD51" s="40">
        <f t="shared" si="14"/>
        <v>0</v>
      </c>
      <c r="AE51" s="40">
        <f t="shared" si="18"/>
        <v>0</v>
      </c>
      <c r="AG51" s="18"/>
      <c r="AI51" s="40">
        <f t="shared" si="15"/>
        <v>0</v>
      </c>
      <c r="AJ51" s="40">
        <f t="shared" si="15"/>
        <v>0</v>
      </c>
      <c r="AK51" s="40">
        <f t="shared" si="15"/>
        <v>0</v>
      </c>
      <c r="AL51" s="40">
        <f t="shared" si="15"/>
        <v>0</v>
      </c>
      <c r="AM51" s="40">
        <f t="shared" si="15"/>
        <v>0</v>
      </c>
      <c r="AN51" s="40">
        <f t="shared" si="19"/>
        <v>0</v>
      </c>
      <c r="AP51" s="18"/>
      <c r="AR51" s="40">
        <f t="shared" si="16"/>
        <v>0</v>
      </c>
      <c r="AS51" s="40">
        <f t="shared" si="16"/>
        <v>0</v>
      </c>
      <c r="AT51" s="40">
        <f t="shared" si="16"/>
        <v>0</v>
      </c>
      <c r="AU51" s="40">
        <f t="shared" si="16"/>
        <v>0</v>
      </c>
      <c r="AV51" s="40">
        <f t="shared" si="16"/>
        <v>0</v>
      </c>
      <c r="AW51" s="40">
        <f t="shared" si="20"/>
        <v>0</v>
      </c>
      <c r="AY51" s="18"/>
    </row>
    <row r="52" spans="2:53">
      <c r="B52" s="44" t="s">
        <v>157</v>
      </c>
      <c r="C52" s="57"/>
      <c r="D52" s="44">
        <v>66</v>
      </c>
      <c r="E52" s="44"/>
      <c r="F52" s="44" t="s">
        <v>161</v>
      </c>
      <c r="G52" s="44" t="s">
        <v>71</v>
      </c>
      <c r="H52" s="53">
        <f t="shared" si="12"/>
        <v>0</v>
      </c>
      <c r="I52" s="44" t="s">
        <v>161</v>
      </c>
      <c r="J52" s="54" t="s">
        <v>71</v>
      </c>
      <c r="K52" s="53">
        <f t="shared" si="13"/>
        <v>0</v>
      </c>
      <c r="L52" s="44" t="s">
        <v>162</v>
      </c>
      <c r="M52" s="44" t="s">
        <v>163</v>
      </c>
      <c r="N52" s="17" t="s">
        <v>320</v>
      </c>
      <c r="O52" t="s">
        <v>164</v>
      </c>
      <c r="Q52" s="40">
        <f t="shared" si="22"/>
        <v>0</v>
      </c>
      <c r="R52" s="40">
        <f t="shared" si="22"/>
        <v>0</v>
      </c>
      <c r="S52" s="40">
        <f t="shared" si="22"/>
        <v>0</v>
      </c>
      <c r="T52" s="40">
        <f t="shared" si="22"/>
        <v>0</v>
      </c>
      <c r="U52" s="40">
        <f t="shared" si="22"/>
        <v>0</v>
      </c>
      <c r="V52" s="40">
        <f t="shared" si="22"/>
        <v>0</v>
      </c>
      <c r="X52" s="18" t="s">
        <v>326</v>
      </c>
      <c r="Z52" s="40">
        <f t="shared" si="14"/>
        <v>0</v>
      </c>
      <c r="AA52" s="40">
        <f t="shared" si="14"/>
        <v>0</v>
      </c>
      <c r="AB52" s="40">
        <f t="shared" si="14"/>
        <v>0</v>
      </c>
      <c r="AC52" s="40">
        <f t="shared" si="14"/>
        <v>0</v>
      </c>
      <c r="AD52" s="40">
        <f t="shared" si="14"/>
        <v>0</v>
      </c>
      <c r="AE52" s="40">
        <f t="shared" si="18"/>
        <v>0</v>
      </c>
      <c r="AG52" s="18"/>
      <c r="AI52" s="40">
        <f t="shared" si="15"/>
        <v>0</v>
      </c>
      <c r="AJ52" s="40">
        <f t="shared" si="15"/>
        <v>0</v>
      </c>
      <c r="AK52" s="40">
        <f t="shared" si="15"/>
        <v>0</v>
      </c>
      <c r="AL52" s="40">
        <f t="shared" si="15"/>
        <v>0</v>
      </c>
      <c r="AM52" s="40">
        <f t="shared" si="15"/>
        <v>0</v>
      </c>
      <c r="AN52" s="40">
        <f t="shared" si="19"/>
        <v>0</v>
      </c>
      <c r="AP52" s="18"/>
      <c r="AR52" s="40">
        <f t="shared" si="16"/>
        <v>0</v>
      </c>
      <c r="AS52" s="40">
        <f t="shared" si="16"/>
        <v>0</v>
      </c>
      <c r="AT52" s="40">
        <f t="shared" si="16"/>
        <v>0</v>
      </c>
      <c r="AU52" s="40">
        <f t="shared" si="16"/>
        <v>0</v>
      </c>
      <c r="AV52" s="40">
        <f t="shared" si="16"/>
        <v>0</v>
      </c>
      <c r="AW52" s="40">
        <f t="shared" si="20"/>
        <v>0</v>
      </c>
      <c r="AY52" s="18"/>
    </row>
    <row r="53" spans="2:53">
      <c r="B53" s="44" t="s">
        <v>157</v>
      </c>
      <c r="C53" s="57"/>
      <c r="D53" s="44">
        <v>64</v>
      </c>
      <c r="E53" s="44"/>
      <c r="F53" s="44" t="s">
        <v>53</v>
      </c>
      <c r="G53" s="44" t="s">
        <v>37</v>
      </c>
      <c r="H53" s="53">
        <f t="shared" si="12"/>
        <v>4</v>
      </c>
      <c r="I53" s="44" t="s">
        <v>53</v>
      </c>
      <c r="J53" s="54" t="s">
        <v>37</v>
      </c>
      <c r="K53" s="53">
        <f t="shared" si="13"/>
        <v>4</v>
      </c>
      <c r="L53" s="44" t="s">
        <v>165</v>
      </c>
      <c r="M53" s="44" t="s">
        <v>166</v>
      </c>
      <c r="N53" s="17" t="s">
        <v>320</v>
      </c>
      <c r="O53" t="s">
        <v>167</v>
      </c>
      <c r="Q53" s="40">
        <f t="shared" ref="Q53:V62" si="23">IF(AND($X53="x",$F53=Q$1),$H53,0)</f>
        <v>0</v>
      </c>
      <c r="R53" s="40">
        <f t="shared" si="23"/>
        <v>0</v>
      </c>
      <c r="S53" s="40">
        <f t="shared" si="23"/>
        <v>0</v>
      </c>
      <c r="T53" s="40">
        <f t="shared" si="23"/>
        <v>0</v>
      </c>
      <c r="U53" s="40">
        <f t="shared" si="23"/>
        <v>4</v>
      </c>
      <c r="V53" s="40">
        <f t="shared" si="23"/>
        <v>0</v>
      </c>
      <c r="X53" s="18" t="s">
        <v>326</v>
      </c>
      <c r="Z53" s="40">
        <f t="shared" si="14"/>
        <v>0</v>
      </c>
      <c r="AA53" s="40">
        <f t="shared" si="14"/>
        <v>0</v>
      </c>
      <c r="AB53" s="40">
        <f t="shared" si="14"/>
        <v>0</v>
      </c>
      <c r="AC53" s="40">
        <f t="shared" si="14"/>
        <v>0</v>
      </c>
      <c r="AD53" s="40">
        <f t="shared" si="14"/>
        <v>0</v>
      </c>
      <c r="AE53" s="40">
        <f t="shared" si="18"/>
        <v>0</v>
      </c>
      <c r="AG53" s="18"/>
      <c r="AI53" s="40">
        <f t="shared" si="15"/>
        <v>0</v>
      </c>
      <c r="AJ53" s="40">
        <f t="shared" si="15"/>
        <v>0</v>
      </c>
      <c r="AK53" s="40">
        <f t="shared" si="15"/>
        <v>0</v>
      </c>
      <c r="AL53" s="40">
        <f t="shared" si="15"/>
        <v>0</v>
      </c>
      <c r="AM53" s="40">
        <f t="shared" si="15"/>
        <v>0</v>
      </c>
      <c r="AN53" s="40">
        <f t="shared" si="19"/>
        <v>0</v>
      </c>
      <c r="AP53" s="18"/>
      <c r="AR53" s="40">
        <f t="shared" si="16"/>
        <v>0</v>
      </c>
      <c r="AS53" s="40">
        <f t="shared" si="16"/>
        <v>0</v>
      </c>
      <c r="AT53" s="40">
        <f t="shared" si="16"/>
        <v>0</v>
      </c>
      <c r="AU53" s="40">
        <f t="shared" si="16"/>
        <v>0</v>
      </c>
      <c r="AV53" s="40">
        <f t="shared" si="16"/>
        <v>0</v>
      </c>
      <c r="AW53" s="40">
        <f t="shared" si="20"/>
        <v>0</v>
      </c>
      <c r="AY53" s="18"/>
    </row>
    <row r="54" spans="2:53">
      <c r="B54" s="44" t="s">
        <v>157</v>
      </c>
      <c r="C54" s="57"/>
      <c r="D54" s="44">
        <v>63</v>
      </c>
      <c r="E54" s="44"/>
      <c r="F54" s="44" t="s">
        <v>330</v>
      </c>
      <c r="G54" s="44" t="s">
        <v>37</v>
      </c>
      <c r="H54" s="53">
        <f t="shared" si="12"/>
        <v>4</v>
      </c>
      <c r="I54" s="44" t="s">
        <v>330</v>
      </c>
      <c r="J54" s="54" t="s">
        <v>37</v>
      </c>
      <c r="K54" s="53">
        <f t="shared" si="13"/>
        <v>4</v>
      </c>
      <c r="L54" s="44" t="s">
        <v>168</v>
      </c>
      <c r="M54" s="44" t="s">
        <v>169</v>
      </c>
      <c r="N54" s="17" t="s">
        <v>320</v>
      </c>
      <c r="O54" t="s">
        <v>336</v>
      </c>
      <c r="Q54" s="40">
        <f t="shared" si="23"/>
        <v>0</v>
      </c>
      <c r="R54" s="40">
        <f t="shared" si="23"/>
        <v>0</v>
      </c>
      <c r="S54" s="40">
        <f t="shared" si="23"/>
        <v>0</v>
      </c>
      <c r="T54" s="40">
        <f t="shared" si="23"/>
        <v>4</v>
      </c>
      <c r="U54" s="40">
        <f t="shared" si="23"/>
        <v>0</v>
      </c>
      <c r="V54" s="40">
        <f t="shared" si="23"/>
        <v>0</v>
      </c>
      <c r="X54" s="18" t="s">
        <v>326</v>
      </c>
      <c r="Z54" s="40">
        <f t="shared" si="14"/>
        <v>0</v>
      </c>
      <c r="AA54" s="40">
        <f t="shared" si="14"/>
        <v>0</v>
      </c>
      <c r="AB54" s="40">
        <f t="shared" si="14"/>
        <v>0</v>
      </c>
      <c r="AC54" s="40">
        <f t="shared" si="14"/>
        <v>0</v>
      </c>
      <c r="AD54" s="40">
        <f t="shared" si="14"/>
        <v>0</v>
      </c>
      <c r="AE54" s="40">
        <f t="shared" si="18"/>
        <v>0</v>
      </c>
      <c r="AG54" s="18"/>
      <c r="AI54" s="40">
        <f t="shared" si="15"/>
        <v>0</v>
      </c>
      <c r="AJ54" s="40">
        <f t="shared" si="15"/>
        <v>0</v>
      </c>
      <c r="AK54" s="40">
        <f t="shared" si="15"/>
        <v>0</v>
      </c>
      <c r="AL54" s="40">
        <f t="shared" si="15"/>
        <v>0</v>
      </c>
      <c r="AM54" s="40">
        <f t="shared" si="15"/>
        <v>0</v>
      </c>
      <c r="AN54" s="40">
        <f t="shared" si="19"/>
        <v>0</v>
      </c>
      <c r="AP54" s="18"/>
      <c r="AR54" s="40">
        <f t="shared" si="16"/>
        <v>0</v>
      </c>
      <c r="AS54" s="40">
        <f t="shared" si="16"/>
        <v>0</v>
      </c>
      <c r="AT54" s="40">
        <f t="shared" si="16"/>
        <v>0</v>
      </c>
      <c r="AU54" s="40">
        <f t="shared" si="16"/>
        <v>0</v>
      </c>
      <c r="AV54" s="40">
        <f t="shared" si="16"/>
        <v>0</v>
      </c>
      <c r="AW54" s="40">
        <f t="shared" si="20"/>
        <v>0</v>
      </c>
      <c r="AY54" s="18"/>
    </row>
    <row r="55" spans="2:53">
      <c r="B55" s="44" t="s">
        <v>157</v>
      </c>
      <c r="C55" s="57"/>
      <c r="D55" s="44"/>
      <c r="E55" s="44"/>
      <c r="F55" s="44" t="s">
        <v>329</v>
      </c>
      <c r="G55" s="44" t="s">
        <v>37</v>
      </c>
      <c r="H55" s="53">
        <f t="shared" si="12"/>
        <v>4</v>
      </c>
      <c r="I55" s="44" t="s">
        <v>329</v>
      </c>
      <c r="J55" s="54" t="s">
        <v>37</v>
      </c>
      <c r="K55" s="53">
        <f t="shared" si="13"/>
        <v>4</v>
      </c>
      <c r="L55" s="44" t="s">
        <v>170</v>
      </c>
      <c r="M55" s="44" t="s">
        <v>171</v>
      </c>
      <c r="N55" s="17" t="s">
        <v>320</v>
      </c>
      <c r="O55" t="s">
        <v>172</v>
      </c>
      <c r="Q55" s="40">
        <f t="shared" si="23"/>
        <v>0</v>
      </c>
      <c r="R55" s="40">
        <f t="shared" si="23"/>
        <v>0</v>
      </c>
      <c r="S55" s="40">
        <f t="shared" si="23"/>
        <v>0</v>
      </c>
      <c r="T55" s="40">
        <f t="shared" si="23"/>
        <v>0</v>
      </c>
      <c r="U55" s="40">
        <f t="shared" si="23"/>
        <v>0</v>
      </c>
      <c r="V55" s="40">
        <f t="shared" si="23"/>
        <v>0</v>
      </c>
      <c r="X55" s="18"/>
      <c r="Z55" s="40">
        <f t="shared" si="14"/>
        <v>0</v>
      </c>
      <c r="AA55" s="40">
        <f t="shared" si="14"/>
        <v>0</v>
      </c>
      <c r="AB55" s="40">
        <f t="shared" si="14"/>
        <v>0</v>
      </c>
      <c r="AC55" s="40">
        <f t="shared" si="14"/>
        <v>0</v>
      </c>
      <c r="AD55" s="40">
        <f t="shared" si="14"/>
        <v>0</v>
      </c>
      <c r="AE55" s="40">
        <f t="shared" si="18"/>
        <v>0</v>
      </c>
      <c r="AG55" s="18"/>
      <c r="AI55" s="40">
        <f t="shared" si="15"/>
        <v>0</v>
      </c>
      <c r="AJ55" s="40">
        <f t="shared" si="15"/>
        <v>0</v>
      </c>
      <c r="AK55" s="40">
        <f t="shared" si="15"/>
        <v>0</v>
      </c>
      <c r="AL55" s="40">
        <f t="shared" si="15"/>
        <v>0</v>
      </c>
      <c r="AM55" s="40">
        <f t="shared" si="15"/>
        <v>0</v>
      </c>
      <c r="AN55" s="40">
        <f t="shared" si="19"/>
        <v>0</v>
      </c>
      <c r="AP55" s="18"/>
      <c r="AR55" s="40">
        <f t="shared" si="16"/>
        <v>0</v>
      </c>
      <c r="AS55" s="40">
        <f t="shared" si="16"/>
        <v>0</v>
      </c>
      <c r="AT55" s="40">
        <f t="shared" si="16"/>
        <v>0</v>
      </c>
      <c r="AU55" s="40">
        <f t="shared" si="16"/>
        <v>0</v>
      </c>
      <c r="AV55" s="40">
        <f t="shared" si="16"/>
        <v>0</v>
      </c>
      <c r="AW55" s="40">
        <f t="shared" si="20"/>
        <v>0</v>
      </c>
      <c r="AY55" s="18"/>
      <c r="AZ55" t="s">
        <v>349</v>
      </c>
    </row>
    <row r="56" spans="2:53">
      <c r="B56" s="44" t="s">
        <v>173</v>
      </c>
      <c r="C56" s="58" t="s">
        <v>357</v>
      </c>
      <c r="D56" s="44"/>
      <c r="E56" s="44">
        <v>1</v>
      </c>
      <c r="F56" s="44"/>
      <c r="G56" s="44"/>
      <c r="H56" s="53">
        <f t="shared" si="12"/>
        <v>0</v>
      </c>
      <c r="I56" s="44" t="s">
        <v>36</v>
      </c>
      <c r="J56" s="54" t="s">
        <v>58</v>
      </c>
      <c r="K56" s="53">
        <f t="shared" si="13"/>
        <v>2</v>
      </c>
      <c r="L56" s="44" t="s">
        <v>174</v>
      </c>
      <c r="M56" s="44" t="s">
        <v>175</v>
      </c>
      <c r="N56" s="17" t="s">
        <v>320</v>
      </c>
      <c r="O56" t="s">
        <v>176</v>
      </c>
      <c r="Q56" s="40">
        <f t="shared" si="23"/>
        <v>0</v>
      </c>
      <c r="R56" s="40">
        <f t="shared" si="23"/>
        <v>0</v>
      </c>
      <c r="S56" s="40">
        <f t="shared" si="23"/>
        <v>0</v>
      </c>
      <c r="T56" s="40">
        <f t="shared" si="23"/>
        <v>0</v>
      </c>
      <c r="U56" s="40">
        <f t="shared" si="23"/>
        <v>0</v>
      </c>
      <c r="V56" s="40">
        <f t="shared" si="23"/>
        <v>0</v>
      </c>
      <c r="X56" s="18"/>
      <c r="Z56" s="40">
        <f t="shared" si="14"/>
        <v>0</v>
      </c>
      <c r="AA56" s="40">
        <f t="shared" si="14"/>
        <v>0</v>
      </c>
      <c r="AB56" s="40">
        <f t="shared" si="14"/>
        <v>0</v>
      </c>
      <c r="AC56" s="40">
        <f t="shared" si="14"/>
        <v>0</v>
      </c>
      <c r="AD56" s="40">
        <f t="shared" si="14"/>
        <v>0</v>
      </c>
      <c r="AE56" s="40">
        <f t="shared" si="18"/>
        <v>0</v>
      </c>
      <c r="AG56" s="18"/>
      <c r="AI56" s="40">
        <f t="shared" si="15"/>
        <v>0</v>
      </c>
      <c r="AJ56" s="40">
        <f t="shared" si="15"/>
        <v>0</v>
      </c>
      <c r="AK56" s="40">
        <f t="shared" si="15"/>
        <v>0</v>
      </c>
      <c r="AL56" s="40">
        <f t="shared" si="15"/>
        <v>0</v>
      </c>
      <c r="AM56" s="40">
        <f t="shared" si="15"/>
        <v>0</v>
      </c>
      <c r="AN56" s="40">
        <f t="shared" si="19"/>
        <v>0</v>
      </c>
      <c r="AP56" s="18"/>
      <c r="AR56" s="40">
        <f t="shared" si="16"/>
        <v>0</v>
      </c>
      <c r="AS56" s="40">
        <f t="shared" si="16"/>
        <v>0</v>
      </c>
      <c r="AT56" s="40">
        <f t="shared" si="16"/>
        <v>0</v>
      </c>
      <c r="AU56" s="40">
        <f t="shared" si="16"/>
        <v>0</v>
      </c>
      <c r="AV56" s="40">
        <f t="shared" si="16"/>
        <v>0</v>
      </c>
      <c r="AW56" s="40">
        <f t="shared" si="20"/>
        <v>2</v>
      </c>
      <c r="AY56" s="18" t="s">
        <v>326</v>
      </c>
      <c r="AZ56" t="s">
        <v>358</v>
      </c>
      <c r="BA56" t="s">
        <v>357</v>
      </c>
    </row>
    <row r="57" spans="2:53">
      <c r="B57" s="44" t="s">
        <v>173</v>
      </c>
      <c r="C57" s="58"/>
      <c r="D57" s="44"/>
      <c r="E57" s="44">
        <v>2</v>
      </c>
      <c r="F57" s="44"/>
      <c r="G57" s="44"/>
      <c r="H57" s="53">
        <f t="shared" si="12"/>
        <v>0</v>
      </c>
      <c r="I57" s="44" t="s">
        <v>108</v>
      </c>
      <c r="J57" s="54" t="s">
        <v>71</v>
      </c>
      <c r="K57" s="53">
        <f t="shared" si="13"/>
        <v>0</v>
      </c>
      <c r="L57" s="44" t="s">
        <v>177</v>
      </c>
      <c r="M57" s="44" t="s">
        <v>178</v>
      </c>
      <c r="N57" s="17" t="s">
        <v>320</v>
      </c>
      <c r="O57" t="s">
        <v>179</v>
      </c>
      <c r="Q57" s="40">
        <f t="shared" si="23"/>
        <v>0</v>
      </c>
      <c r="R57" s="40">
        <f t="shared" si="23"/>
        <v>0</v>
      </c>
      <c r="S57" s="40">
        <f t="shared" si="23"/>
        <v>0</v>
      </c>
      <c r="T57" s="40">
        <f t="shared" si="23"/>
        <v>0</v>
      </c>
      <c r="U57" s="40">
        <f t="shared" si="23"/>
        <v>0</v>
      </c>
      <c r="V57" s="40">
        <f t="shared" si="23"/>
        <v>0</v>
      </c>
      <c r="X57" s="18"/>
      <c r="Z57" s="40">
        <f t="shared" si="14"/>
        <v>0</v>
      </c>
      <c r="AA57" s="40">
        <f t="shared" si="14"/>
        <v>0</v>
      </c>
      <c r="AB57" s="40">
        <f t="shared" si="14"/>
        <v>0</v>
      </c>
      <c r="AC57" s="40">
        <f t="shared" si="14"/>
        <v>0</v>
      </c>
      <c r="AD57" s="40">
        <f t="shared" si="14"/>
        <v>0</v>
      </c>
      <c r="AE57" s="40">
        <f t="shared" si="18"/>
        <v>0</v>
      </c>
      <c r="AG57" s="18"/>
      <c r="AI57" s="40">
        <f t="shared" si="15"/>
        <v>0</v>
      </c>
      <c r="AJ57" s="40">
        <f t="shared" si="15"/>
        <v>0</v>
      </c>
      <c r="AK57" s="40">
        <f t="shared" si="15"/>
        <v>0</v>
      </c>
      <c r="AL57" s="40">
        <f t="shared" si="15"/>
        <v>0</v>
      </c>
      <c r="AM57" s="40">
        <f t="shared" si="15"/>
        <v>0</v>
      </c>
      <c r="AN57" s="40">
        <f t="shared" si="19"/>
        <v>0</v>
      </c>
      <c r="AP57" s="18"/>
      <c r="AR57" s="40">
        <f t="shared" si="16"/>
        <v>0</v>
      </c>
      <c r="AS57" s="40">
        <f t="shared" si="16"/>
        <v>0</v>
      </c>
      <c r="AT57" s="40">
        <f t="shared" si="16"/>
        <v>0</v>
      </c>
      <c r="AU57" s="40">
        <f t="shared" si="16"/>
        <v>0</v>
      </c>
      <c r="AV57" s="40">
        <f t="shared" si="16"/>
        <v>0</v>
      </c>
      <c r="AW57" s="40">
        <f t="shared" si="20"/>
        <v>0</v>
      </c>
      <c r="AY57" s="18"/>
    </row>
    <row r="58" spans="2:53" ht="30">
      <c r="B58" s="44" t="s">
        <v>173</v>
      </c>
      <c r="C58" s="59" t="s">
        <v>359</v>
      </c>
      <c r="D58" s="44"/>
      <c r="E58" s="44">
        <v>3</v>
      </c>
      <c r="F58" s="44"/>
      <c r="G58" s="44"/>
      <c r="H58" s="53">
        <f t="shared" si="12"/>
        <v>0</v>
      </c>
      <c r="I58" s="44" t="s">
        <v>41</v>
      </c>
      <c r="J58" s="54" t="s">
        <v>58</v>
      </c>
      <c r="K58" s="53">
        <f t="shared" si="13"/>
        <v>2</v>
      </c>
      <c r="L58" s="44" t="s">
        <v>180</v>
      </c>
      <c r="M58" s="44" t="s">
        <v>181</v>
      </c>
      <c r="N58" s="17" t="s">
        <v>320</v>
      </c>
      <c r="O58" t="s">
        <v>182</v>
      </c>
      <c r="Q58" s="40">
        <f t="shared" si="23"/>
        <v>0</v>
      </c>
      <c r="R58" s="40">
        <f t="shared" si="23"/>
        <v>0</v>
      </c>
      <c r="S58" s="40">
        <f t="shared" si="23"/>
        <v>0</v>
      </c>
      <c r="T58" s="40">
        <f t="shared" si="23"/>
        <v>0</v>
      </c>
      <c r="U58" s="40">
        <f t="shared" si="23"/>
        <v>0</v>
      </c>
      <c r="V58" s="40">
        <f t="shared" si="23"/>
        <v>0</v>
      </c>
      <c r="X58" s="18"/>
      <c r="Z58" s="40">
        <f t="shared" si="14"/>
        <v>0</v>
      </c>
      <c r="AA58" s="40">
        <f t="shared" si="14"/>
        <v>0</v>
      </c>
      <c r="AB58" s="40">
        <f t="shared" si="14"/>
        <v>0</v>
      </c>
      <c r="AC58" s="40">
        <f t="shared" si="14"/>
        <v>0</v>
      </c>
      <c r="AD58" s="40">
        <f t="shared" si="14"/>
        <v>0</v>
      </c>
      <c r="AE58" s="40">
        <f t="shared" si="18"/>
        <v>0</v>
      </c>
      <c r="AG58" s="18"/>
      <c r="AI58" s="40">
        <f t="shared" si="15"/>
        <v>0</v>
      </c>
      <c r="AJ58" s="40">
        <f t="shared" si="15"/>
        <v>0</v>
      </c>
      <c r="AK58" s="40">
        <f t="shared" si="15"/>
        <v>0</v>
      </c>
      <c r="AL58" s="40">
        <f t="shared" si="15"/>
        <v>0</v>
      </c>
      <c r="AM58" s="40">
        <f t="shared" si="15"/>
        <v>0</v>
      </c>
      <c r="AN58" s="40">
        <f t="shared" si="19"/>
        <v>0</v>
      </c>
      <c r="AP58" s="18"/>
      <c r="AR58" s="40">
        <f t="shared" si="16"/>
        <v>2</v>
      </c>
      <c r="AS58" s="40">
        <f t="shared" si="16"/>
        <v>0</v>
      </c>
      <c r="AT58" s="40">
        <f t="shared" si="16"/>
        <v>0</v>
      </c>
      <c r="AU58" s="40">
        <f t="shared" si="16"/>
        <v>0</v>
      </c>
      <c r="AV58" s="40">
        <f t="shared" si="16"/>
        <v>0</v>
      </c>
      <c r="AW58" s="40">
        <f t="shared" si="20"/>
        <v>0</v>
      </c>
      <c r="AY58" s="18" t="s">
        <v>326</v>
      </c>
      <c r="BA58" t="s">
        <v>359</v>
      </c>
    </row>
    <row r="59" spans="2:53">
      <c r="B59" s="44" t="s">
        <v>183</v>
      </c>
      <c r="C59" s="57"/>
      <c r="D59" s="44">
        <v>83</v>
      </c>
      <c r="E59" s="44"/>
      <c r="F59" s="44" t="s">
        <v>36</v>
      </c>
      <c r="G59" s="44" t="s">
        <v>37</v>
      </c>
      <c r="H59" s="53">
        <f t="shared" si="12"/>
        <v>4</v>
      </c>
      <c r="I59" s="44" t="s">
        <v>36</v>
      </c>
      <c r="J59" s="54" t="s">
        <v>37</v>
      </c>
      <c r="K59" s="53">
        <f t="shared" si="13"/>
        <v>4</v>
      </c>
      <c r="L59" s="44" t="s">
        <v>184</v>
      </c>
      <c r="M59" s="44" t="s">
        <v>185</v>
      </c>
      <c r="N59" s="17" t="s">
        <v>320</v>
      </c>
      <c r="O59" t="s">
        <v>186</v>
      </c>
      <c r="Q59" s="40">
        <f t="shared" si="23"/>
        <v>0</v>
      </c>
      <c r="R59" s="40">
        <f t="shared" si="23"/>
        <v>0</v>
      </c>
      <c r="S59" s="40">
        <f t="shared" si="23"/>
        <v>0</v>
      </c>
      <c r="T59" s="40">
        <f t="shared" si="23"/>
        <v>0</v>
      </c>
      <c r="U59" s="40">
        <f t="shared" si="23"/>
        <v>0</v>
      </c>
      <c r="V59" s="40">
        <f t="shared" si="23"/>
        <v>0</v>
      </c>
      <c r="X59" s="18"/>
      <c r="Z59" s="40">
        <f t="shared" si="14"/>
        <v>0</v>
      </c>
      <c r="AA59" s="40">
        <f t="shared" si="14"/>
        <v>0</v>
      </c>
      <c r="AB59" s="40">
        <f t="shared" si="14"/>
        <v>0</v>
      </c>
      <c r="AC59" s="40">
        <f t="shared" si="14"/>
        <v>0</v>
      </c>
      <c r="AD59" s="40">
        <f t="shared" si="14"/>
        <v>0</v>
      </c>
      <c r="AE59" s="40">
        <f t="shared" si="18"/>
        <v>0</v>
      </c>
      <c r="AG59" s="18"/>
      <c r="AI59" s="40">
        <f t="shared" si="15"/>
        <v>0</v>
      </c>
      <c r="AJ59" s="40">
        <f t="shared" si="15"/>
        <v>0</v>
      </c>
      <c r="AK59" s="40">
        <f t="shared" si="15"/>
        <v>0</v>
      </c>
      <c r="AL59" s="40">
        <f t="shared" si="15"/>
        <v>0</v>
      </c>
      <c r="AM59" s="40">
        <f t="shared" si="15"/>
        <v>0</v>
      </c>
      <c r="AN59" s="40">
        <f t="shared" si="19"/>
        <v>0</v>
      </c>
      <c r="AP59" s="18"/>
      <c r="AR59" s="40">
        <f t="shared" si="16"/>
        <v>0</v>
      </c>
      <c r="AS59" s="40">
        <f t="shared" si="16"/>
        <v>0</v>
      </c>
      <c r="AT59" s="40">
        <f t="shared" si="16"/>
        <v>0</v>
      </c>
      <c r="AU59" s="40">
        <f t="shared" si="16"/>
        <v>0</v>
      </c>
      <c r="AV59" s="40">
        <f t="shared" si="16"/>
        <v>0</v>
      </c>
      <c r="AW59" s="40">
        <f t="shared" si="20"/>
        <v>0</v>
      </c>
      <c r="AY59" s="18"/>
    </row>
    <row r="60" spans="2:53">
      <c r="B60" s="44" t="s">
        <v>183</v>
      </c>
      <c r="C60" s="57"/>
      <c r="D60" s="44"/>
      <c r="E60" s="44"/>
      <c r="F60" s="44" t="s">
        <v>53</v>
      </c>
      <c r="G60" s="44" t="s">
        <v>37</v>
      </c>
      <c r="H60" s="53">
        <f t="shared" si="12"/>
        <v>4</v>
      </c>
      <c r="I60" s="44" t="s">
        <v>53</v>
      </c>
      <c r="J60" s="54" t="s">
        <v>37</v>
      </c>
      <c r="K60" s="53">
        <f t="shared" si="13"/>
        <v>4</v>
      </c>
      <c r="L60" s="44" t="s">
        <v>346</v>
      </c>
      <c r="M60" s="44" t="s">
        <v>187</v>
      </c>
      <c r="N60" s="17" t="s">
        <v>320</v>
      </c>
      <c r="O60" t="s">
        <v>188</v>
      </c>
      <c r="Q60" s="40">
        <f t="shared" si="23"/>
        <v>0</v>
      </c>
      <c r="R60" s="40">
        <f t="shared" si="23"/>
        <v>0</v>
      </c>
      <c r="S60" s="40">
        <f t="shared" si="23"/>
        <v>0</v>
      </c>
      <c r="T60" s="40">
        <f t="shared" si="23"/>
        <v>0</v>
      </c>
      <c r="U60" s="40">
        <f t="shared" si="23"/>
        <v>0</v>
      </c>
      <c r="V60" s="40">
        <f t="shared" si="23"/>
        <v>0</v>
      </c>
      <c r="X60" s="18"/>
      <c r="Z60" s="40">
        <f t="shared" si="14"/>
        <v>0</v>
      </c>
      <c r="AA60" s="40">
        <f t="shared" si="14"/>
        <v>0</v>
      </c>
      <c r="AB60" s="40">
        <f t="shared" si="14"/>
        <v>0</v>
      </c>
      <c r="AC60" s="40">
        <f t="shared" si="14"/>
        <v>0</v>
      </c>
      <c r="AD60" s="40">
        <f t="shared" si="14"/>
        <v>0</v>
      </c>
      <c r="AE60" s="40">
        <f t="shared" si="18"/>
        <v>0</v>
      </c>
      <c r="AG60" s="18"/>
      <c r="AI60" s="40">
        <f t="shared" si="15"/>
        <v>0</v>
      </c>
      <c r="AJ60" s="40">
        <f t="shared" si="15"/>
        <v>0</v>
      </c>
      <c r="AK60" s="40">
        <f t="shared" si="15"/>
        <v>0</v>
      </c>
      <c r="AL60" s="40">
        <f t="shared" si="15"/>
        <v>0</v>
      </c>
      <c r="AM60" s="40">
        <f t="shared" si="15"/>
        <v>0</v>
      </c>
      <c r="AN60" s="40">
        <f t="shared" si="19"/>
        <v>0</v>
      </c>
      <c r="AP60" s="18"/>
      <c r="AR60" s="40">
        <f t="shared" si="16"/>
        <v>0</v>
      </c>
      <c r="AS60" s="40">
        <f t="shared" si="16"/>
        <v>0</v>
      </c>
      <c r="AT60" s="40">
        <f t="shared" si="16"/>
        <v>0</v>
      </c>
      <c r="AU60" s="40">
        <f t="shared" si="16"/>
        <v>0</v>
      </c>
      <c r="AV60" s="40">
        <f t="shared" si="16"/>
        <v>0</v>
      </c>
      <c r="AW60" s="40">
        <f t="shared" si="20"/>
        <v>0</v>
      </c>
      <c r="AY60" s="18"/>
    </row>
    <row r="61" spans="2:53">
      <c r="B61" s="44" t="s">
        <v>183</v>
      </c>
      <c r="C61" s="57"/>
      <c r="D61" s="44"/>
      <c r="E61" s="44"/>
      <c r="F61" s="44" t="s">
        <v>161</v>
      </c>
      <c r="G61" s="44" t="s">
        <v>71</v>
      </c>
      <c r="H61" s="53">
        <f t="shared" si="12"/>
        <v>0</v>
      </c>
      <c r="I61" s="44" t="s">
        <v>161</v>
      </c>
      <c r="J61" s="54" t="s">
        <v>71</v>
      </c>
      <c r="K61" s="53">
        <f t="shared" si="13"/>
        <v>0</v>
      </c>
      <c r="L61" s="44" t="s">
        <v>189</v>
      </c>
      <c r="M61" s="44" t="s">
        <v>190</v>
      </c>
      <c r="N61" s="17" t="s">
        <v>320</v>
      </c>
      <c r="O61" t="s">
        <v>191</v>
      </c>
      <c r="Q61" s="40">
        <f t="shared" si="23"/>
        <v>0</v>
      </c>
      <c r="R61" s="40">
        <f t="shared" si="23"/>
        <v>0</v>
      </c>
      <c r="S61" s="40">
        <f t="shared" si="23"/>
        <v>0</v>
      </c>
      <c r="T61" s="40">
        <f t="shared" si="23"/>
        <v>0</v>
      </c>
      <c r="U61" s="40">
        <f t="shared" si="23"/>
        <v>0</v>
      </c>
      <c r="V61" s="40">
        <f t="shared" si="23"/>
        <v>0</v>
      </c>
      <c r="X61" s="18"/>
      <c r="Z61" s="40">
        <f t="shared" si="14"/>
        <v>0</v>
      </c>
      <c r="AA61" s="40">
        <f t="shared" si="14"/>
        <v>0</v>
      </c>
      <c r="AB61" s="40">
        <f t="shared" si="14"/>
        <v>0</v>
      </c>
      <c r="AC61" s="40">
        <f t="shared" si="14"/>
        <v>0</v>
      </c>
      <c r="AD61" s="40">
        <f t="shared" si="14"/>
        <v>0</v>
      </c>
      <c r="AE61" s="40">
        <f t="shared" si="18"/>
        <v>0</v>
      </c>
      <c r="AG61" s="18"/>
      <c r="AI61" s="40">
        <f t="shared" si="15"/>
        <v>0</v>
      </c>
      <c r="AJ61" s="40">
        <f t="shared" si="15"/>
        <v>0</v>
      </c>
      <c r="AK61" s="40">
        <f t="shared" si="15"/>
        <v>0</v>
      </c>
      <c r="AL61" s="40">
        <f t="shared" si="15"/>
        <v>0</v>
      </c>
      <c r="AM61" s="40">
        <f t="shared" si="15"/>
        <v>0</v>
      </c>
      <c r="AN61" s="40">
        <f t="shared" si="19"/>
        <v>0</v>
      </c>
      <c r="AP61" s="18"/>
      <c r="AR61" s="40">
        <f t="shared" si="16"/>
        <v>0</v>
      </c>
      <c r="AS61" s="40">
        <f t="shared" si="16"/>
        <v>0</v>
      </c>
      <c r="AT61" s="40">
        <f t="shared" si="16"/>
        <v>0</v>
      </c>
      <c r="AU61" s="40">
        <f t="shared" si="16"/>
        <v>0</v>
      </c>
      <c r="AV61" s="40">
        <f t="shared" si="16"/>
        <v>0</v>
      </c>
      <c r="AW61" s="40">
        <f t="shared" si="20"/>
        <v>0</v>
      </c>
      <c r="AY61" s="18"/>
    </row>
    <row r="62" spans="2:53">
      <c r="B62" s="44" t="s">
        <v>183</v>
      </c>
      <c r="C62" s="57"/>
      <c r="D62" s="44"/>
      <c r="E62" s="44"/>
      <c r="F62" s="44" t="s">
        <v>46</v>
      </c>
      <c r="G62" s="44" t="s">
        <v>37</v>
      </c>
      <c r="H62" s="53">
        <f t="shared" si="12"/>
        <v>4</v>
      </c>
      <c r="I62" s="44" t="s">
        <v>46</v>
      </c>
      <c r="J62" s="54" t="s">
        <v>37</v>
      </c>
      <c r="K62" s="53">
        <f t="shared" si="13"/>
        <v>4</v>
      </c>
      <c r="L62" s="44" t="s">
        <v>192</v>
      </c>
      <c r="M62" s="44" t="s">
        <v>193</v>
      </c>
      <c r="N62" s="17" t="s">
        <v>320</v>
      </c>
      <c r="O62" t="s">
        <v>194</v>
      </c>
      <c r="Q62" s="40">
        <f t="shared" si="23"/>
        <v>0</v>
      </c>
      <c r="R62" s="40">
        <f t="shared" si="23"/>
        <v>0</v>
      </c>
      <c r="S62" s="40">
        <f t="shared" si="23"/>
        <v>0</v>
      </c>
      <c r="T62" s="40">
        <f t="shared" si="23"/>
        <v>0</v>
      </c>
      <c r="U62" s="40">
        <f t="shared" si="23"/>
        <v>0</v>
      </c>
      <c r="V62" s="40">
        <f t="shared" si="23"/>
        <v>0</v>
      </c>
      <c r="X62" s="18"/>
      <c r="Z62" s="40">
        <f t="shared" si="14"/>
        <v>0</v>
      </c>
      <c r="AA62" s="40">
        <f t="shared" si="14"/>
        <v>0</v>
      </c>
      <c r="AB62" s="40">
        <f t="shared" si="14"/>
        <v>0</v>
      </c>
      <c r="AC62" s="40">
        <f t="shared" si="14"/>
        <v>0</v>
      </c>
      <c r="AD62" s="40">
        <f t="shared" si="14"/>
        <v>0</v>
      </c>
      <c r="AE62" s="40">
        <f t="shared" si="18"/>
        <v>0</v>
      </c>
      <c r="AG62" s="18"/>
      <c r="AI62" s="40">
        <f t="shared" si="15"/>
        <v>0</v>
      </c>
      <c r="AJ62" s="40">
        <f t="shared" si="15"/>
        <v>0</v>
      </c>
      <c r="AK62" s="40">
        <f t="shared" si="15"/>
        <v>0</v>
      </c>
      <c r="AL62" s="40">
        <f t="shared" si="15"/>
        <v>0</v>
      </c>
      <c r="AM62" s="40">
        <f t="shared" si="15"/>
        <v>0</v>
      </c>
      <c r="AN62" s="40">
        <f t="shared" si="19"/>
        <v>0</v>
      </c>
      <c r="AP62" s="18"/>
      <c r="AR62" s="40">
        <f t="shared" si="16"/>
        <v>0</v>
      </c>
      <c r="AS62" s="40">
        <f t="shared" si="16"/>
        <v>0</v>
      </c>
      <c r="AT62" s="40">
        <f t="shared" si="16"/>
        <v>0</v>
      </c>
      <c r="AU62" s="40">
        <f t="shared" si="16"/>
        <v>0</v>
      </c>
      <c r="AV62" s="40">
        <f t="shared" si="16"/>
        <v>0</v>
      </c>
      <c r="AW62" s="40">
        <f t="shared" si="20"/>
        <v>0</v>
      </c>
      <c r="AY62" s="18"/>
    </row>
    <row r="63" spans="2:53">
      <c r="B63" s="44" t="s">
        <v>183</v>
      </c>
      <c r="C63" s="57"/>
      <c r="D63" s="44"/>
      <c r="E63" s="44"/>
      <c r="F63" s="44" t="s">
        <v>130</v>
      </c>
      <c r="G63" s="44" t="s">
        <v>71</v>
      </c>
      <c r="H63" s="53">
        <f t="shared" si="12"/>
        <v>0</v>
      </c>
      <c r="I63" s="44" t="s">
        <v>130</v>
      </c>
      <c r="J63" s="54" t="s">
        <v>71</v>
      </c>
      <c r="K63" s="53">
        <f t="shared" si="13"/>
        <v>0</v>
      </c>
      <c r="L63" s="44" t="s">
        <v>195</v>
      </c>
      <c r="M63" s="44" t="s">
        <v>196</v>
      </c>
      <c r="N63" s="17" t="s">
        <v>320</v>
      </c>
      <c r="O63" t="s">
        <v>197</v>
      </c>
      <c r="Q63" s="40">
        <f t="shared" ref="Q63:V72" si="24">IF(AND($X63="x",$F63=Q$1),$H63,0)</f>
        <v>0</v>
      </c>
      <c r="R63" s="40">
        <f t="shared" si="24"/>
        <v>0</v>
      </c>
      <c r="S63" s="40">
        <f t="shared" si="24"/>
        <v>0</v>
      </c>
      <c r="T63" s="40">
        <f t="shared" si="24"/>
        <v>0</v>
      </c>
      <c r="U63" s="40">
        <f t="shared" si="24"/>
        <v>0</v>
      </c>
      <c r="V63" s="40">
        <f t="shared" si="24"/>
        <v>0</v>
      </c>
      <c r="X63" s="18"/>
      <c r="Z63" s="40">
        <f t="shared" si="14"/>
        <v>0</v>
      </c>
      <c r="AA63" s="40">
        <f t="shared" si="14"/>
        <v>0</v>
      </c>
      <c r="AB63" s="40">
        <f t="shared" si="14"/>
        <v>0</v>
      </c>
      <c r="AC63" s="40">
        <f t="shared" si="14"/>
        <v>0</v>
      </c>
      <c r="AD63" s="40">
        <f t="shared" si="14"/>
        <v>0</v>
      </c>
      <c r="AE63" s="40">
        <f t="shared" si="18"/>
        <v>0</v>
      </c>
      <c r="AG63" s="18"/>
      <c r="AI63" s="40">
        <f t="shared" si="15"/>
        <v>0</v>
      </c>
      <c r="AJ63" s="40">
        <f t="shared" si="15"/>
        <v>0</v>
      </c>
      <c r="AK63" s="40">
        <f t="shared" si="15"/>
        <v>0</v>
      </c>
      <c r="AL63" s="40">
        <f t="shared" si="15"/>
        <v>0</v>
      </c>
      <c r="AM63" s="40">
        <f t="shared" si="15"/>
        <v>0</v>
      </c>
      <c r="AN63" s="40">
        <f t="shared" si="19"/>
        <v>0</v>
      </c>
      <c r="AP63" s="18"/>
      <c r="AR63" s="40">
        <f t="shared" si="16"/>
        <v>0</v>
      </c>
      <c r="AS63" s="40">
        <f t="shared" si="16"/>
        <v>0</v>
      </c>
      <c r="AT63" s="40">
        <f t="shared" si="16"/>
        <v>0</v>
      </c>
      <c r="AU63" s="40">
        <f t="shared" si="16"/>
        <v>0</v>
      </c>
      <c r="AV63" s="40">
        <f t="shared" si="16"/>
        <v>0</v>
      </c>
      <c r="AW63" s="40">
        <f t="shared" si="20"/>
        <v>0</v>
      </c>
      <c r="AY63" s="18"/>
    </row>
    <row r="64" spans="2:53">
      <c r="B64" s="44" t="s">
        <v>198</v>
      </c>
      <c r="C64" s="57"/>
      <c r="D64" s="44"/>
      <c r="E64" s="44">
        <v>16</v>
      </c>
      <c r="F64" s="44"/>
      <c r="G64" s="44"/>
      <c r="H64" s="53">
        <f t="shared" si="12"/>
        <v>0</v>
      </c>
      <c r="I64" s="44" t="s">
        <v>46</v>
      </c>
      <c r="J64" s="54" t="s">
        <v>58</v>
      </c>
      <c r="K64" s="53">
        <f t="shared" si="13"/>
        <v>2</v>
      </c>
      <c r="L64" s="44" t="s">
        <v>199</v>
      </c>
      <c r="M64" s="44" t="s">
        <v>200</v>
      </c>
      <c r="N64" s="17" t="s">
        <v>320</v>
      </c>
      <c r="O64" t="s">
        <v>201</v>
      </c>
      <c r="Q64" s="40">
        <f t="shared" si="24"/>
        <v>0</v>
      </c>
      <c r="R64" s="40">
        <f t="shared" si="24"/>
        <v>0</v>
      </c>
      <c r="S64" s="40">
        <f t="shared" si="24"/>
        <v>0</v>
      </c>
      <c r="T64" s="40">
        <f t="shared" si="24"/>
        <v>0</v>
      </c>
      <c r="U64" s="40">
        <f t="shared" si="24"/>
        <v>0</v>
      </c>
      <c r="V64" s="40">
        <f t="shared" si="24"/>
        <v>0</v>
      </c>
      <c r="X64" s="18"/>
      <c r="Z64" s="40">
        <f t="shared" si="14"/>
        <v>0</v>
      </c>
      <c r="AA64" s="40">
        <f t="shared" si="14"/>
        <v>0</v>
      </c>
      <c r="AB64" s="40">
        <f t="shared" si="14"/>
        <v>0</v>
      </c>
      <c r="AC64" s="40">
        <f t="shared" si="14"/>
        <v>0</v>
      </c>
      <c r="AD64" s="40">
        <f t="shared" si="14"/>
        <v>0</v>
      </c>
      <c r="AE64" s="40">
        <f t="shared" si="18"/>
        <v>0</v>
      </c>
      <c r="AG64" s="18"/>
      <c r="AI64" s="40">
        <f t="shared" si="15"/>
        <v>0</v>
      </c>
      <c r="AJ64" s="40">
        <f t="shared" si="15"/>
        <v>2</v>
      </c>
      <c r="AK64" s="40">
        <f t="shared" si="15"/>
        <v>0</v>
      </c>
      <c r="AL64" s="40">
        <f t="shared" si="15"/>
        <v>0</v>
      </c>
      <c r="AM64" s="40">
        <f t="shared" si="15"/>
        <v>0</v>
      </c>
      <c r="AN64" s="40">
        <f t="shared" si="19"/>
        <v>0</v>
      </c>
      <c r="AP64" s="18" t="s">
        <v>326</v>
      </c>
      <c r="AR64" s="40">
        <f t="shared" si="16"/>
        <v>0</v>
      </c>
      <c r="AS64" s="40">
        <f t="shared" si="16"/>
        <v>0</v>
      </c>
      <c r="AT64" s="40">
        <f t="shared" si="16"/>
        <v>0</v>
      </c>
      <c r="AU64" s="40">
        <f t="shared" si="16"/>
        <v>0</v>
      </c>
      <c r="AV64" s="40">
        <f t="shared" si="16"/>
        <v>0</v>
      </c>
      <c r="AW64" s="40">
        <f t="shared" si="20"/>
        <v>0</v>
      </c>
      <c r="AY64" s="18"/>
    </row>
    <row r="65" spans="2:52">
      <c r="B65" s="44" t="s">
        <v>198</v>
      </c>
      <c r="C65" s="57"/>
      <c r="D65" s="44"/>
      <c r="E65" s="44">
        <v>15</v>
      </c>
      <c r="F65" s="44"/>
      <c r="G65" s="44"/>
      <c r="H65" s="53">
        <f t="shared" si="12"/>
        <v>0</v>
      </c>
      <c r="I65" s="44" t="s">
        <v>53</v>
      </c>
      <c r="J65" s="54" t="s">
        <v>58</v>
      </c>
      <c r="K65" s="53">
        <f t="shared" si="13"/>
        <v>2</v>
      </c>
      <c r="L65" s="44" t="s">
        <v>202</v>
      </c>
      <c r="M65" s="44" t="s">
        <v>203</v>
      </c>
      <c r="N65" s="17" t="s">
        <v>320</v>
      </c>
      <c r="O65" t="s">
        <v>204</v>
      </c>
      <c r="Q65" s="40">
        <f t="shared" si="24"/>
        <v>0</v>
      </c>
      <c r="R65" s="40">
        <f t="shared" si="24"/>
        <v>0</v>
      </c>
      <c r="S65" s="40">
        <f t="shared" si="24"/>
        <v>0</v>
      </c>
      <c r="T65" s="40">
        <f t="shared" si="24"/>
        <v>0</v>
      </c>
      <c r="U65" s="40">
        <f t="shared" si="24"/>
        <v>0</v>
      </c>
      <c r="V65" s="40">
        <f t="shared" si="24"/>
        <v>0</v>
      </c>
      <c r="X65" s="18"/>
      <c r="Z65" s="40">
        <f t="shared" si="14"/>
        <v>0</v>
      </c>
      <c r="AA65" s="40">
        <f t="shared" si="14"/>
        <v>0</v>
      </c>
      <c r="AB65" s="40">
        <f t="shared" si="14"/>
        <v>0</v>
      </c>
      <c r="AC65" s="40">
        <f t="shared" si="14"/>
        <v>0</v>
      </c>
      <c r="AD65" s="40">
        <f t="shared" si="14"/>
        <v>0</v>
      </c>
      <c r="AE65" s="40">
        <f t="shared" si="18"/>
        <v>0</v>
      </c>
      <c r="AG65" s="18"/>
      <c r="AI65" s="40">
        <f t="shared" si="15"/>
        <v>0</v>
      </c>
      <c r="AJ65" s="40">
        <f t="shared" si="15"/>
        <v>0</v>
      </c>
      <c r="AK65" s="40">
        <f t="shared" si="15"/>
        <v>0</v>
      </c>
      <c r="AL65" s="40">
        <f t="shared" si="15"/>
        <v>0</v>
      </c>
      <c r="AM65" s="40">
        <f t="shared" si="15"/>
        <v>2</v>
      </c>
      <c r="AN65" s="40">
        <f t="shared" si="19"/>
        <v>0</v>
      </c>
      <c r="AP65" s="18" t="s">
        <v>326</v>
      </c>
      <c r="AR65" s="40">
        <f t="shared" si="16"/>
        <v>0</v>
      </c>
      <c r="AS65" s="40">
        <f t="shared" si="16"/>
        <v>0</v>
      </c>
      <c r="AT65" s="40">
        <f t="shared" si="16"/>
        <v>0</v>
      </c>
      <c r="AU65" s="40">
        <f t="shared" si="16"/>
        <v>0</v>
      </c>
      <c r="AV65" s="40">
        <f t="shared" si="16"/>
        <v>0</v>
      </c>
      <c r="AW65" s="40">
        <f t="shared" si="20"/>
        <v>0</v>
      </c>
      <c r="AY65" s="18"/>
    </row>
    <row r="66" spans="2:52">
      <c r="B66" s="44" t="s">
        <v>198</v>
      </c>
      <c r="C66" s="57"/>
      <c r="D66" s="44"/>
      <c r="E66" s="44">
        <v>17</v>
      </c>
      <c r="F66" s="44"/>
      <c r="G66" s="44"/>
      <c r="H66" s="53">
        <f t="shared" si="12"/>
        <v>0</v>
      </c>
      <c r="I66" s="44" t="s">
        <v>161</v>
      </c>
      <c r="J66" s="54" t="s">
        <v>71</v>
      </c>
      <c r="K66" s="53">
        <f t="shared" si="13"/>
        <v>0</v>
      </c>
      <c r="L66" s="44" t="s">
        <v>205</v>
      </c>
      <c r="M66" s="44" t="s">
        <v>206</v>
      </c>
      <c r="N66" s="17" t="s">
        <v>320</v>
      </c>
      <c r="O66" t="s">
        <v>207</v>
      </c>
      <c r="Q66" s="40">
        <f t="shared" si="24"/>
        <v>0</v>
      </c>
      <c r="R66" s="40">
        <f t="shared" si="24"/>
        <v>0</v>
      </c>
      <c r="S66" s="40">
        <f t="shared" si="24"/>
        <v>0</v>
      </c>
      <c r="T66" s="40">
        <f t="shared" si="24"/>
        <v>0</v>
      </c>
      <c r="U66" s="40">
        <f t="shared" si="24"/>
        <v>0</v>
      </c>
      <c r="V66" s="40">
        <f t="shared" si="24"/>
        <v>0</v>
      </c>
      <c r="X66" s="18"/>
      <c r="Z66" s="40">
        <f t="shared" si="14"/>
        <v>0</v>
      </c>
      <c r="AA66" s="40">
        <f t="shared" si="14"/>
        <v>0</v>
      </c>
      <c r="AB66" s="40">
        <f t="shared" si="14"/>
        <v>0</v>
      </c>
      <c r="AC66" s="40">
        <f t="shared" si="14"/>
        <v>0</v>
      </c>
      <c r="AD66" s="40">
        <f t="shared" si="14"/>
        <v>0</v>
      </c>
      <c r="AE66" s="40">
        <f t="shared" si="18"/>
        <v>0</v>
      </c>
      <c r="AG66" s="18"/>
      <c r="AI66" s="40">
        <f t="shared" si="15"/>
        <v>0</v>
      </c>
      <c r="AJ66" s="40">
        <f t="shared" si="15"/>
        <v>0</v>
      </c>
      <c r="AK66" s="40">
        <f t="shared" si="15"/>
        <v>0</v>
      </c>
      <c r="AL66" s="40">
        <f t="shared" si="15"/>
        <v>0</v>
      </c>
      <c r="AM66" s="40">
        <f t="shared" si="15"/>
        <v>0</v>
      </c>
      <c r="AN66" s="40">
        <f t="shared" si="19"/>
        <v>0</v>
      </c>
      <c r="AP66" s="18" t="s">
        <v>326</v>
      </c>
      <c r="AR66" s="40">
        <f t="shared" si="16"/>
        <v>0</v>
      </c>
      <c r="AS66" s="40">
        <f t="shared" si="16"/>
        <v>0</v>
      </c>
      <c r="AT66" s="40">
        <f t="shared" si="16"/>
        <v>0</v>
      </c>
      <c r="AU66" s="40">
        <f t="shared" si="16"/>
        <v>0</v>
      </c>
      <c r="AV66" s="40">
        <f t="shared" si="16"/>
        <v>0</v>
      </c>
      <c r="AW66" s="40">
        <f t="shared" si="20"/>
        <v>0</v>
      </c>
      <c r="AY66" s="18"/>
    </row>
    <row r="67" spans="2:52">
      <c r="B67" s="44" t="s">
        <v>208</v>
      </c>
      <c r="C67" s="57"/>
      <c r="D67" s="44">
        <v>33</v>
      </c>
      <c r="E67" s="44"/>
      <c r="F67" s="44" t="s">
        <v>36</v>
      </c>
      <c r="G67" s="44" t="s">
        <v>42</v>
      </c>
      <c r="H67" s="53">
        <f t="shared" si="12"/>
        <v>3</v>
      </c>
      <c r="I67" s="44" t="s">
        <v>71</v>
      </c>
      <c r="J67" s="54" t="s">
        <v>71</v>
      </c>
      <c r="K67" s="53">
        <f t="shared" si="13"/>
        <v>0</v>
      </c>
      <c r="L67" s="44" t="s">
        <v>209</v>
      </c>
      <c r="M67" s="44" t="s">
        <v>210</v>
      </c>
      <c r="N67" s="17" t="s">
        <v>320</v>
      </c>
      <c r="O67" t="s">
        <v>211</v>
      </c>
      <c r="Q67" s="40">
        <f t="shared" si="24"/>
        <v>0</v>
      </c>
      <c r="R67" s="40">
        <f t="shared" si="24"/>
        <v>0</v>
      </c>
      <c r="S67" s="40">
        <f t="shared" si="24"/>
        <v>0</v>
      </c>
      <c r="T67" s="40">
        <f t="shared" si="24"/>
        <v>0</v>
      </c>
      <c r="U67" s="40">
        <f t="shared" si="24"/>
        <v>0</v>
      </c>
      <c r="V67" s="40">
        <f t="shared" si="24"/>
        <v>3</v>
      </c>
      <c r="X67" s="18" t="s">
        <v>326</v>
      </c>
      <c r="Z67" s="40">
        <f t="shared" si="14"/>
        <v>0</v>
      </c>
      <c r="AA67" s="40">
        <f t="shared" si="14"/>
        <v>0</v>
      </c>
      <c r="AB67" s="40">
        <f t="shared" si="14"/>
        <v>0</v>
      </c>
      <c r="AC67" s="40">
        <f t="shared" si="14"/>
        <v>0</v>
      </c>
      <c r="AD67" s="40">
        <f t="shared" si="14"/>
        <v>0</v>
      </c>
      <c r="AE67" s="40">
        <f t="shared" si="18"/>
        <v>0</v>
      </c>
      <c r="AG67" s="18"/>
      <c r="AI67" s="40">
        <f t="shared" si="15"/>
        <v>0</v>
      </c>
      <c r="AJ67" s="40">
        <f t="shared" si="15"/>
        <v>0</v>
      </c>
      <c r="AK67" s="40">
        <f t="shared" si="15"/>
        <v>0</v>
      </c>
      <c r="AL67" s="40">
        <f t="shared" si="15"/>
        <v>0</v>
      </c>
      <c r="AM67" s="40">
        <f t="shared" si="15"/>
        <v>0</v>
      </c>
      <c r="AN67" s="40">
        <f t="shared" si="19"/>
        <v>0</v>
      </c>
      <c r="AP67" s="18"/>
      <c r="AR67" s="40">
        <f t="shared" si="16"/>
        <v>0</v>
      </c>
      <c r="AS67" s="40">
        <f t="shared" si="16"/>
        <v>0</v>
      </c>
      <c r="AT67" s="40">
        <f t="shared" si="16"/>
        <v>0</v>
      </c>
      <c r="AU67" s="40">
        <f t="shared" si="16"/>
        <v>0</v>
      </c>
      <c r="AV67" s="40">
        <f t="shared" si="16"/>
        <v>0</v>
      </c>
      <c r="AW67" s="40">
        <f t="shared" si="20"/>
        <v>0</v>
      </c>
      <c r="AY67" s="18"/>
    </row>
    <row r="68" spans="2:52">
      <c r="B68" s="44" t="s">
        <v>208</v>
      </c>
      <c r="C68" s="57"/>
      <c r="D68" s="44"/>
      <c r="E68" s="44"/>
      <c r="F68" s="44" t="s">
        <v>41</v>
      </c>
      <c r="G68" s="44" t="s">
        <v>42</v>
      </c>
      <c r="H68" s="53">
        <f t="shared" si="12"/>
        <v>3</v>
      </c>
      <c r="I68" s="44" t="s">
        <v>71</v>
      </c>
      <c r="J68" s="54" t="s">
        <v>71</v>
      </c>
      <c r="K68" s="53">
        <f t="shared" si="13"/>
        <v>0</v>
      </c>
      <c r="L68" s="44" t="s">
        <v>212</v>
      </c>
      <c r="M68" s="44" t="s">
        <v>213</v>
      </c>
      <c r="N68" s="17" t="s">
        <v>320</v>
      </c>
      <c r="O68" t="s">
        <v>214</v>
      </c>
      <c r="Q68" s="40">
        <f t="shared" si="24"/>
        <v>3</v>
      </c>
      <c r="R68" s="40">
        <f t="shared" si="24"/>
        <v>0</v>
      </c>
      <c r="S68" s="40">
        <f t="shared" si="24"/>
        <v>0</v>
      </c>
      <c r="T68" s="40">
        <f t="shared" si="24"/>
        <v>0</v>
      </c>
      <c r="U68" s="40">
        <f t="shared" si="24"/>
        <v>0</v>
      </c>
      <c r="V68" s="40">
        <f t="shared" si="24"/>
        <v>0</v>
      </c>
      <c r="X68" s="18" t="s">
        <v>326</v>
      </c>
      <c r="Z68" s="40">
        <f t="shared" si="14"/>
        <v>0</v>
      </c>
      <c r="AA68" s="40">
        <f t="shared" si="14"/>
        <v>0</v>
      </c>
      <c r="AB68" s="40">
        <f t="shared" si="14"/>
        <v>0</v>
      </c>
      <c r="AC68" s="40">
        <f t="shared" si="14"/>
        <v>0</v>
      </c>
      <c r="AD68" s="40">
        <f t="shared" si="14"/>
        <v>0</v>
      </c>
      <c r="AE68" s="40">
        <f t="shared" si="18"/>
        <v>0</v>
      </c>
      <c r="AG68" s="18"/>
      <c r="AI68" s="40">
        <f t="shared" si="15"/>
        <v>0</v>
      </c>
      <c r="AJ68" s="40">
        <f t="shared" si="15"/>
        <v>0</v>
      </c>
      <c r="AK68" s="40">
        <f t="shared" si="15"/>
        <v>0</v>
      </c>
      <c r="AL68" s="40">
        <f t="shared" si="15"/>
        <v>0</v>
      </c>
      <c r="AM68" s="40">
        <f t="shared" si="15"/>
        <v>0</v>
      </c>
      <c r="AN68" s="40">
        <f t="shared" si="19"/>
        <v>0</v>
      </c>
      <c r="AP68" s="18"/>
      <c r="AR68" s="40">
        <f t="shared" si="16"/>
        <v>0</v>
      </c>
      <c r="AS68" s="40">
        <f t="shared" si="16"/>
        <v>0</v>
      </c>
      <c r="AT68" s="40">
        <f t="shared" si="16"/>
        <v>0</v>
      </c>
      <c r="AU68" s="40">
        <f t="shared" si="16"/>
        <v>0</v>
      </c>
      <c r="AV68" s="40">
        <f t="shared" si="16"/>
        <v>0</v>
      </c>
      <c r="AW68" s="40">
        <f t="shared" si="20"/>
        <v>0</v>
      </c>
      <c r="AY68" s="18"/>
    </row>
    <row r="69" spans="2:52">
      <c r="B69" s="44" t="s">
        <v>208</v>
      </c>
      <c r="C69" s="57"/>
      <c r="D69" s="44">
        <v>34</v>
      </c>
      <c r="E69" s="44"/>
      <c r="F69" s="44" t="s">
        <v>330</v>
      </c>
      <c r="G69" s="44" t="s">
        <v>42</v>
      </c>
      <c r="H69" s="53">
        <f t="shared" si="12"/>
        <v>3</v>
      </c>
      <c r="I69" s="44" t="s">
        <v>330</v>
      </c>
      <c r="J69" s="54" t="s">
        <v>42</v>
      </c>
      <c r="K69" s="53">
        <f t="shared" si="13"/>
        <v>3</v>
      </c>
      <c r="L69" s="44" t="s">
        <v>215</v>
      </c>
      <c r="M69" s="44" t="s">
        <v>216</v>
      </c>
      <c r="N69" s="17" t="s">
        <v>320</v>
      </c>
      <c r="O69" t="s">
        <v>337</v>
      </c>
      <c r="Q69" s="40">
        <f t="shared" si="24"/>
        <v>0</v>
      </c>
      <c r="R69" s="40">
        <f t="shared" si="24"/>
        <v>0</v>
      </c>
      <c r="S69" s="40">
        <f t="shared" si="24"/>
        <v>0</v>
      </c>
      <c r="T69" s="40">
        <f t="shared" si="24"/>
        <v>3</v>
      </c>
      <c r="U69" s="40">
        <f t="shared" si="24"/>
        <v>0</v>
      </c>
      <c r="V69" s="40">
        <f t="shared" si="24"/>
        <v>0</v>
      </c>
      <c r="X69" s="18" t="s">
        <v>326</v>
      </c>
      <c r="Z69" s="40">
        <f t="shared" si="14"/>
        <v>0</v>
      </c>
      <c r="AA69" s="40">
        <f t="shared" si="14"/>
        <v>0</v>
      </c>
      <c r="AB69" s="40">
        <f t="shared" si="14"/>
        <v>0</v>
      </c>
      <c r="AC69" s="40">
        <f t="shared" si="14"/>
        <v>0</v>
      </c>
      <c r="AD69" s="40">
        <f t="shared" si="14"/>
        <v>0</v>
      </c>
      <c r="AE69" s="40">
        <f t="shared" si="18"/>
        <v>0</v>
      </c>
      <c r="AG69" s="18"/>
      <c r="AI69" s="40">
        <f t="shared" si="15"/>
        <v>0</v>
      </c>
      <c r="AJ69" s="40">
        <f t="shared" si="15"/>
        <v>0</v>
      </c>
      <c r="AK69" s="40">
        <f t="shared" si="15"/>
        <v>0</v>
      </c>
      <c r="AL69" s="40">
        <f t="shared" si="15"/>
        <v>3</v>
      </c>
      <c r="AM69" s="40">
        <f t="shared" si="15"/>
        <v>0</v>
      </c>
      <c r="AN69" s="40">
        <f t="shared" si="19"/>
        <v>0</v>
      </c>
      <c r="AP69" s="18" t="s">
        <v>326</v>
      </c>
      <c r="AR69" s="40">
        <f t="shared" si="16"/>
        <v>0</v>
      </c>
      <c r="AS69" s="40">
        <f t="shared" si="16"/>
        <v>0</v>
      </c>
      <c r="AT69" s="40">
        <f t="shared" si="16"/>
        <v>0</v>
      </c>
      <c r="AU69" s="40">
        <f t="shared" si="16"/>
        <v>0</v>
      </c>
      <c r="AV69" s="40">
        <f t="shared" si="16"/>
        <v>0</v>
      </c>
      <c r="AW69" s="40">
        <f t="shared" si="20"/>
        <v>0</v>
      </c>
      <c r="AY69" s="18"/>
    </row>
    <row r="70" spans="2:52">
      <c r="B70" s="44" t="s">
        <v>208</v>
      </c>
      <c r="C70" s="57"/>
      <c r="D70" s="44"/>
      <c r="E70" s="44"/>
      <c r="F70" s="44" t="s">
        <v>329</v>
      </c>
      <c r="G70" s="44" t="s">
        <v>42</v>
      </c>
      <c r="H70" s="53">
        <f t="shared" si="12"/>
        <v>3</v>
      </c>
      <c r="I70" s="44" t="s">
        <v>71</v>
      </c>
      <c r="J70" s="54" t="s">
        <v>71</v>
      </c>
      <c r="K70" s="53">
        <f t="shared" si="13"/>
        <v>0</v>
      </c>
      <c r="L70" s="44" t="s">
        <v>217</v>
      </c>
      <c r="M70" s="44" t="s">
        <v>218</v>
      </c>
      <c r="N70" s="17" t="s">
        <v>320</v>
      </c>
      <c r="O70" t="s">
        <v>219</v>
      </c>
      <c r="Q70" s="40">
        <f t="shared" si="24"/>
        <v>0</v>
      </c>
      <c r="R70" s="40">
        <f t="shared" si="24"/>
        <v>0</v>
      </c>
      <c r="S70" s="40">
        <f t="shared" si="24"/>
        <v>3</v>
      </c>
      <c r="T70" s="40">
        <f t="shared" si="24"/>
        <v>0</v>
      </c>
      <c r="U70" s="40">
        <f t="shared" si="24"/>
        <v>0</v>
      </c>
      <c r="V70" s="40">
        <f t="shared" si="24"/>
        <v>0</v>
      </c>
      <c r="X70" s="18" t="s">
        <v>326</v>
      </c>
      <c r="Z70" s="40">
        <f t="shared" si="14"/>
        <v>0</v>
      </c>
      <c r="AA70" s="40">
        <f t="shared" si="14"/>
        <v>0</v>
      </c>
      <c r="AB70" s="40">
        <f t="shared" si="14"/>
        <v>0</v>
      </c>
      <c r="AC70" s="40">
        <f t="shared" si="14"/>
        <v>0</v>
      </c>
      <c r="AD70" s="40">
        <f t="shared" si="14"/>
        <v>0</v>
      </c>
      <c r="AE70" s="40">
        <f t="shared" si="18"/>
        <v>0</v>
      </c>
      <c r="AG70" s="18"/>
      <c r="AI70" s="40">
        <f t="shared" si="15"/>
        <v>0</v>
      </c>
      <c r="AJ70" s="40">
        <f t="shared" si="15"/>
        <v>0</v>
      </c>
      <c r="AK70" s="40">
        <f t="shared" si="15"/>
        <v>0</v>
      </c>
      <c r="AL70" s="40">
        <f t="shared" si="15"/>
        <v>0</v>
      </c>
      <c r="AM70" s="40">
        <f t="shared" si="15"/>
        <v>0</v>
      </c>
      <c r="AN70" s="40">
        <f t="shared" si="19"/>
        <v>0</v>
      </c>
      <c r="AP70" s="18"/>
      <c r="AR70" s="40">
        <f t="shared" si="16"/>
        <v>0</v>
      </c>
      <c r="AS70" s="40">
        <f t="shared" si="16"/>
        <v>0</v>
      </c>
      <c r="AT70" s="40">
        <f t="shared" si="16"/>
        <v>0</v>
      </c>
      <c r="AU70" s="40">
        <f t="shared" si="16"/>
        <v>0</v>
      </c>
      <c r="AV70" s="40">
        <f t="shared" si="16"/>
        <v>0</v>
      </c>
      <c r="AW70" s="40">
        <f t="shared" si="20"/>
        <v>0</v>
      </c>
      <c r="AY70" s="18"/>
    </row>
    <row r="71" spans="2:52">
      <c r="B71" s="44" t="s">
        <v>208</v>
      </c>
      <c r="C71" s="57"/>
      <c r="D71" s="44">
        <v>36</v>
      </c>
      <c r="E71" s="44"/>
      <c r="F71" s="44" t="s">
        <v>130</v>
      </c>
      <c r="G71" s="44" t="s">
        <v>71</v>
      </c>
      <c r="H71" s="53">
        <f t="shared" si="12"/>
        <v>0</v>
      </c>
      <c r="I71" s="44" t="s">
        <v>130</v>
      </c>
      <c r="J71" s="54" t="s">
        <v>71</v>
      </c>
      <c r="K71" s="53">
        <f t="shared" si="13"/>
        <v>0</v>
      </c>
      <c r="L71" s="44" t="s">
        <v>220</v>
      </c>
      <c r="M71" s="44" t="s">
        <v>221</v>
      </c>
      <c r="N71" s="17" t="s">
        <v>320</v>
      </c>
      <c r="O71" t="s">
        <v>222</v>
      </c>
      <c r="Q71" s="40">
        <f t="shared" si="24"/>
        <v>0</v>
      </c>
      <c r="R71" s="40">
        <f t="shared" si="24"/>
        <v>0</v>
      </c>
      <c r="S71" s="40">
        <f t="shared" si="24"/>
        <v>0</v>
      </c>
      <c r="T71" s="40">
        <f t="shared" si="24"/>
        <v>0</v>
      </c>
      <c r="U71" s="40">
        <f t="shared" si="24"/>
        <v>0</v>
      </c>
      <c r="V71" s="40">
        <f t="shared" si="24"/>
        <v>0</v>
      </c>
      <c r="X71" s="18" t="s">
        <v>326</v>
      </c>
      <c r="Z71" s="40">
        <f t="shared" si="14"/>
        <v>0</v>
      </c>
      <c r="AA71" s="40">
        <f t="shared" si="14"/>
        <v>0</v>
      </c>
      <c r="AB71" s="40">
        <f t="shared" si="14"/>
        <v>0</v>
      </c>
      <c r="AC71" s="40">
        <f t="shared" si="14"/>
        <v>0</v>
      </c>
      <c r="AD71" s="40">
        <f t="shared" si="14"/>
        <v>0</v>
      </c>
      <c r="AE71" s="40">
        <f t="shared" si="18"/>
        <v>0</v>
      </c>
      <c r="AG71" s="18"/>
      <c r="AI71" s="40">
        <f t="shared" si="15"/>
        <v>0</v>
      </c>
      <c r="AJ71" s="40">
        <f t="shared" si="15"/>
        <v>0</v>
      </c>
      <c r="AK71" s="40">
        <f t="shared" si="15"/>
        <v>0</v>
      </c>
      <c r="AL71" s="40">
        <f t="shared" si="15"/>
        <v>0</v>
      </c>
      <c r="AM71" s="40">
        <f t="shared" si="15"/>
        <v>0</v>
      </c>
      <c r="AN71" s="40">
        <f t="shared" si="19"/>
        <v>0</v>
      </c>
      <c r="AP71" s="18" t="s">
        <v>326</v>
      </c>
      <c r="AR71" s="40">
        <f t="shared" si="16"/>
        <v>0</v>
      </c>
      <c r="AS71" s="40">
        <f t="shared" si="16"/>
        <v>0</v>
      </c>
      <c r="AT71" s="40">
        <f t="shared" si="16"/>
        <v>0</v>
      </c>
      <c r="AU71" s="40">
        <f t="shared" si="16"/>
        <v>0</v>
      </c>
      <c r="AV71" s="40">
        <f t="shared" si="16"/>
        <v>0</v>
      </c>
      <c r="AW71" s="40">
        <f t="shared" si="20"/>
        <v>0</v>
      </c>
      <c r="AY71" s="18"/>
      <c r="AZ71" t="s">
        <v>367</v>
      </c>
    </row>
    <row r="72" spans="2:52">
      <c r="B72" s="44" t="s">
        <v>208</v>
      </c>
      <c r="C72" s="57"/>
      <c r="D72" s="44"/>
      <c r="E72" s="44">
        <v>33</v>
      </c>
      <c r="F72" s="44" t="s">
        <v>71</v>
      </c>
      <c r="G72" s="44" t="s">
        <v>71</v>
      </c>
      <c r="H72" s="53">
        <f t="shared" si="12"/>
        <v>0</v>
      </c>
      <c r="I72" s="44" t="s">
        <v>36</v>
      </c>
      <c r="J72" s="54" t="s">
        <v>42</v>
      </c>
      <c r="K72" s="53">
        <f t="shared" si="13"/>
        <v>3</v>
      </c>
      <c r="L72" s="44" t="s">
        <v>223</v>
      </c>
      <c r="M72" s="44" t="s">
        <v>224</v>
      </c>
      <c r="N72" s="17" t="s">
        <v>320</v>
      </c>
      <c r="O72" t="s">
        <v>225</v>
      </c>
      <c r="Q72" s="40">
        <f t="shared" si="24"/>
        <v>0</v>
      </c>
      <c r="R72" s="40">
        <f t="shared" si="24"/>
        <v>0</v>
      </c>
      <c r="S72" s="40">
        <f t="shared" si="24"/>
        <v>0</v>
      </c>
      <c r="T72" s="40">
        <f t="shared" si="24"/>
        <v>0</v>
      </c>
      <c r="U72" s="40">
        <f t="shared" si="24"/>
        <v>0</v>
      </c>
      <c r="V72" s="40">
        <f t="shared" si="24"/>
        <v>0</v>
      </c>
      <c r="X72" s="18"/>
      <c r="Z72" s="40">
        <f t="shared" si="14"/>
        <v>0</v>
      </c>
      <c r="AA72" s="40">
        <f t="shared" si="14"/>
        <v>0</v>
      </c>
      <c r="AB72" s="40">
        <f t="shared" si="14"/>
        <v>0</v>
      </c>
      <c r="AC72" s="40">
        <f t="shared" si="14"/>
        <v>0</v>
      </c>
      <c r="AD72" s="40">
        <f t="shared" si="14"/>
        <v>0</v>
      </c>
      <c r="AE72" s="40">
        <f t="shared" si="18"/>
        <v>0</v>
      </c>
      <c r="AG72" s="18"/>
      <c r="AI72" s="40">
        <f t="shared" si="15"/>
        <v>0</v>
      </c>
      <c r="AJ72" s="40">
        <f t="shared" si="15"/>
        <v>0</v>
      </c>
      <c r="AK72" s="40">
        <f t="shared" si="15"/>
        <v>0</v>
      </c>
      <c r="AL72" s="40">
        <f t="shared" si="15"/>
        <v>0</v>
      </c>
      <c r="AM72" s="40">
        <f t="shared" si="15"/>
        <v>0</v>
      </c>
      <c r="AN72" s="40">
        <f t="shared" si="19"/>
        <v>3</v>
      </c>
      <c r="AP72" s="18" t="s">
        <v>326</v>
      </c>
      <c r="AR72" s="40">
        <f t="shared" si="16"/>
        <v>0</v>
      </c>
      <c r="AS72" s="40">
        <f t="shared" si="16"/>
        <v>0</v>
      </c>
      <c r="AT72" s="40">
        <f t="shared" si="16"/>
        <v>0</v>
      </c>
      <c r="AU72" s="40">
        <f t="shared" si="16"/>
        <v>0</v>
      </c>
      <c r="AV72" s="40">
        <f t="shared" si="16"/>
        <v>0</v>
      </c>
      <c r="AW72" s="40">
        <f t="shared" si="20"/>
        <v>0</v>
      </c>
      <c r="AY72" s="18"/>
    </row>
    <row r="73" spans="2:52">
      <c r="B73" s="44" t="s">
        <v>208</v>
      </c>
      <c r="C73" s="57"/>
      <c r="D73" s="44"/>
      <c r="E73" s="44">
        <v>35</v>
      </c>
      <c r="F73" s="44" t="s">
        <v>71</v>
      </c>
      <c r="G73" s="44" t="s">
        <v>71</v>
      </c>
      <c r="H73" s="53">
        <f t="shared" si="12"/>
        <v>0</v>
      </c>
      <c r="I73" s="44" t="s">
        <v>41</v>
      </c>
      <c r="J73" s="54" t="s">
        <v>42</v>
      </c>
      <c r="K73" s="53">
        <f t="shared" si="13"/>
        <v>3</v>
      </c>
      <c r="L73" s="44" t="s">
        <v>226</v>
      </c>
      <c r="M73" s="44" t="s">
        <v>227</v>
      </c>
      <c r="N73" s="17" t="s">
        <v>320</v>
      </c>
      <c r="O73" t="s">
        <v>228</v>
      </c>
      <c r="Q73" s="40">
        <f t="shared" ref="Q73:V82" si="25">IF(AND($X73="x",$F73=Q$1),$H73,0)</f>
        <v>0</v>
      </c>
      <c r="R73" s="40">
        <f t="shared" si="25"/>
        <v>0</v>
      </c>
      <c r="S73" s="40">
        <f t="shared" si="25"/>
        <v>0</v>
      </c>
      <c r="T73" s="40">
        <f t="shared" si="25"/>
        <v>0</v>
      </c>
      <c r="U73" s="40">
        <f t="shared" si="25"/>
        <v>0</v>
      </c>
      <c r="V73" s="40">
        <f t="shared" si="25"/>
        <v>0</v>
      </c>
      <c r="X73" s="18"/>
      <c r="Z73" s="40">
        <f t="shared" si="14"/>
        <v>0</v>
      </c>
      <c r="AA73" s="40">
        <f t="shared" si="14"/>
        <v>0</v>
      </c>
      <c r="AB73" s="40">
        <f t="shared" si="14"/>
        <v>0</v>
      </c>
      <c r="AC73" s="40">
        <f t="shared" si="14"/>
        <v>0</v>
      </c>
      <c r="AD73" s="40">
        <f t="shared" ref="AD73:AE102" si="26">IF(AND($AG73="x",$F73=AD$1),$H73,0)</f>
        <v>0</v>
      </c>
      <c r="AE73" s="40">
        <f t="shared" si="18"/>
        <v>0</v>
      </c>
      <c r="AG73" s="18"/>
      <c r="AI73" s="40">
        <f t="shared" si="15"/>
        <v>3</v>
      </c>
      <c r="AJ73" s="40">
        <f t="shared" si="15"/>
        <v>0</v>
      </c>
      <c r="AK73" s="40">
        <f t="shared" si="15"/>
        <v>0</v>
      </c>
      <c r="AL73" s="40">
        <f t="shared" si="15"/>
        <v>0</v>
      </c>
      <c r="AM73" s="40">
        <f t="shared" ref="AM73:AN102" si="27">IF(AND($AP73="x",$I73=AM$1),$K73,0)</f>
        <v>0</v>
      </c>
      <c r="AN73" s="40">
        <f t="shared" si="19"/>
        <v>0</v>
      </c>
      <c r="AP73" s="18" t="s">
        <v>326</v>
      </c>
      <c r="AR73" s="40">
        <f t="shared" si="16"/>
        <v>0</v>
      </c>
      <c r="AS73" s="40">
        <f t="shared" si="16"/>
        <v>0</v>
      </c>
      <c r="AT73" s="40">
        <f t="shared" si="16"/>
        <v>0</v>
      </c>
      <c r="AU73" s="40">
        <f t="shared" si="16"/>
        <v>0</v>
      </c>
      <c r="AV73" s="40">
        <f t="shared" ref="AV73:AW102" si="28">IF(AND($AY73="x",$I73=AV$1),$K73,0)</f>
        <v>0</v>
      </c>
      <c r="AW73" s="40">
        <f t="shared" si="20"/>
        <v>0</v>
      </c>
      <c r="AY73" s="18"/>
    </row>
    <row r="74" spans="2:52">
      <c r="B74" s="44" t="s">
        <v>208</v>
      </c>
      <c r="C74" s="57"/>
      <c r="D74" s="44"/>
      <c r="E74" s="44">
        <v>37</v>
      </c>
      <c r="F74" s="44" t="s">
        <v>71</v>
      </c>
      <c r="G74" s="44" t="s">
        <v>71</v>
      </c>
      <c r="H74" s="53">
        <f t="shared" si="12"/>
        <v>0</v>
      </c>
      <c r="I74" s="44" t="s">
        <v>329</v>
      </c>
      <c r="J74" s="54" t="s">
        <v>42</v>
      </c>
      <c r="K74" s="53">
        <f t="shared" si="13"/>
        <v>3</v>
      </c>
      <c r="L74" s="44" t="s">
        <v>229</v>
      </c>
      <c r="M74" s="44" t="s">
        <v>230</v>
      </c>
      <c r="N74" s="17" t="s">
        <v>320</v>
      </c>
      <c r="O74" t="s">
        <v>231</v>
      </c>
      <c r="Q74" s="40">
        <f t="shared" si="25"/>
        <v>0</v>
      </c>
      <c r="R74" s="40">
        <f t="shared" si="25"/>
        <v>0</v>
      </c>
      <c r="S74" s="40">
        <f t="shared" si="25"/>
        <v>0</v>
      </c>
      <c r="T74" s="40">
        <f t="shared" si="25"/>
        <v>0</v>
      </c>
      <c r="U74" s="40">
        <f t="shared" si="25"/>
        <v>0</v>
      </c>
      <c r="V74" s="40">
        <f t="shared" si="25"/>
        <v>0</v>
      </c>
      <c r="X74" s="18"/>
      <c r="Z74" s="40">
        <f t="shared" si="14"/>
        <v>0</v>
      </c>
      <c r="AA74" s="40">
        <f t="shared" si="14"/>
        <v>0</v>
      </c>
      <c r="AB74" s="40">
        <f t="shared" si="14"/>
        <v>0</v>
      </c>
      <c r="AC74" s="40">
        <f t="shared" si="14"/>
        <v>0</v>
      </c>
      <c r="AD74" s="40">
        <f t="shared" si="26"/>
        <v>0</v>
      </c>
      <c r="AE74" s="40">
        <f t="shared" si="18"/>
        <v>0</v>
      </c>
      <c r="AG74" s="18"/>
      <c r="AI74" s="40">
        <f t="shared" si="15"/>
        <v>0</v>
      </c>
      <c r="AJ74" s="40">
        <f t="shared" si="15"/>
        <v>0</v>
      </c>
      <c r="AK74" s="40">
        <f t="shared" si="15"/>
        <v>3</v>
      </c>
      <c r="AL74" s="40">
        <f t="shared" si="15"/>
        <v>0</v>
      </c>
      <c r="AM74" s="40">
        <f t="shared" si="27"/>
        <v>0</v>
      </c>
      <c r="AN74" s="40">
        <f t="shared" si="19"/>
        <v>0</v>
      </c>
      <c r="AP74" s="18" t="s">
        <v>326</v>
      </c>
      <c r="AR74" s="40">
        <f t="shared" si="16"/>
        <v>0</v>
      </c>
      <c r="AS74" s="40">
        <f t="shared" si="16"/>
        <v>0</v>
      </c>
      <c r="AT74" s="40">
        <f t="shared" si="16"/>
        <v>0</v>
      </c>
      <c r="AU74" s="40">
        <f t="shared" si="16"/>
        <v>0</v>
      </c>
      <c r="AV74" s="40">
        <f t="shared" si="28"/>
        <v>0</v>
      </c>
      <c r="AW74" s="40">
        <f t="shared" si="20"/>
        <v>0</v>
      </c>
      <c r="AY74" s="18"/>
    </row>
    <row r="75" spans="2:52">
      <c r="B75" s="44" t="s">
        <v>232</v>
      </c>
      <c r="C75" s="57"/>
      <c r="D75" s="44"/>
      <c r="E75" s="44">
        <v>14</v>
      </c>
      <c r="F75" s="44" t="s">
        <v>161</v>
      </c>
      <c r="G75" s="44" t="s">
        <v>71</v>
      </c>
      <c r="H75" s="53">
        <f t="shared" si="12"/>
        <v>0</v>
      </c>
      <c r="I75" s="44" t="s">
        <v>161</v>
      </c>
      <c r="J75" s="54" t="s">
        <v>71</v>
      </c>
      <c r="K75" s="53">
        <f t="shared" si="13"/>
        <v>0</v>
      </c>
      <c r="L75" s="44" t="s">
        <v>233</v>
      </c>
      <c r="M75" s="44" t="s">
        <v>234</v>
      </c>
      <c r="N75" s="17" t="s">
        <v>320</v>
      </c>
      <c r="O75" t="s">
        <v>235</v>
      </c>
      <c r="Q75" s="40">
        <f t="shared" si="25"/>
        <v>0</v>
      </c>
      <c r="R75" s="40">
        <f t="shared" si="25"/>
        <v>0</v>
      </c>
      <c r="S75" s="40">
        <f t="shared" si="25"/>
        <v>0</v>
      </c>
      <c r="T75" s="40">
        <f t="shared" si="25"/>
        <v>0</v>
      </c>
      <c r="U75" s="40">
        <f t="shared" si="25"/>
        <v>0</v>
      </c>
      <c r="V75" s="40">
        <f t="shared" si="25"/>
        <v>0</v>
      </c>
      <c r="X75" s="18" t="s">
        <v>326</v>
      </c>
      <c r="Z75" s="40">
        <f t="shared" si="14"/>
        <v>0</v>
      </c>
      <c r="AA75" s="40">
        <f t="shared" si="14"/>
        <v>0</v>
      </c>
      <c r="AB75" s="40">
        <f t="shared" si="14"/>
        <v>0</v>
      </c>
      <c r="AC75" s="40">
        <f t="shared" si="14"/>
        <v>0</v>
      </c>
      <c r="AD75" s="40">
        <f t="shared" si="26"/>
        <v>0</v>
      </c>
      <c r="AE75" s="40">
        <f t="shared" si="18"/>
        <v>0</v>
      </c>
      <c r="AG75" s="18"/>
      <c r="AI75" s="40">
        <f t="shared" si="15"/>
        <v>0</v>
      </c>
      <c r="AJ75" s="40">
        <f t="shared" si="15"/>
        <v>0</v>
      </c>
      <c r="AK75" s="40">
        <f t="shared" si="15"/>
        <v>0</v>
      </c>
      <c r="AL75" s="40">
        <f t="shared" si="15"/>
        <v>0</v>
      </c>
      <c r="AM75" s="40">
        <f t="shared" si="27"/>
        <v>0</v>
      </c>
      <c r="AN75" s="40">
        <f t="shared" si="19"/>
        <v>0</v>
      </c>
      <c r="AP75" s="18"/>
      <c r="AR75" s="40">
        <f t="shared" si="16"/>
        <v>0</v>
      </c>
      <c r="AS75" s="40">
        <f t="shared" si="16"/>
        <v>0</v>
      </c>
      <c r="AT75" s="40">
        <f t="shared" si="16"/>
        <v>0</v>
      </c>
      <c r="AU75" s="40">
        <f t="shared" si="16"/>
        <v>0</v>
      </c>
      <c r="AV75" s="40">
        <f t="shared" si="28"/>
        <v>0</v>
      </c>
      <c r="AW75" s="40">
        <f t="shared" si="20"/>
        <v>0</v>
      </c>
      <c r="AY75" s="18"/>
    </row>
    <row r="76" spans="2:52">
      <c r="B76" s="44" t="s">
        <v>232</v>
      </c>
      <c r="C76" s="57"/>
      <c r="D76" s="44"/>
      <c r="E76" s="44">
        <v>13</v>
      </c>
      <c r="F76" s="44" t="s">
        <v>41</v>
      </c>
      <c r="G76" s="44" t="s">
        <v>58</v>
      </c>
      <c r="H76" s="53">
        <f t="shared" si="12"/>
        <v>2</v>
      </c>
      <c r="I76" s="44" t="s">
        <v>41</v>
      </c>
      <c r="J76" s="54" t="s">
        <v>58</v>
      </c>
      <c r="K76" s="53">
        <f t="shared" si="13"/>
        <v>2</v>
      </c>
      <c r="L76" s="44" t="s">
        <v>236</v>
      </c>
      <c r="M76" s="44" t="s">
        <v>237</v>
      </c>
      <c r="N76" s="17" t="s">
        <v>320</v>
      </c>
      <c r="O76" t="s">
        <v>238</v>
      </c>
      <c r="Q76" s="40">
        <f t="shared" si="25"/>
        <v>2</v>
      </c>
      <c r="R76" s="40">
        <f t="shared" si="25"/>
        <v>0</v>
      </c>
      <c r="S76" s="40">
        <f t="shared" si="25"/>
        <v>0</v>
      </c>
      <c r="T76" s="40">
        <f t="shared" si="25"/>
        <v>0</v>
      </c>
      <c r="U76" s="40">
        <f t="shared" si="25"/>
        <v>0</v>
      </c>
      <c r="V76" s="40">
        <f t="shared" si="25"/>
        <v>0</v>
      </c>
      <c r="X76" s="18" t="s">
        <v>326</v>
      </c>
      <c r="Z76" s="40">
        <f t="shared" si="14"/>
        <v>0</v>
      </c>
      <c r="AA76" s="40">
        <f t="shared" si="14"/>
        <v>0</v>
      </c>
      <c r="AB76" s="40">
        <f t="shared" si="14"/>
        <v>0</v>
      </c>
      <c r="AC76" s="40">
        <f t="shared" si="14"/>
        <v>0</v>
      </c>
      <c r="AD76" s="40">
        <f t="shared" si="26"/>
        <v>0</v>
      </c>
      <c r="AE76" s="40">
        <f t="shared" si="18"/>
        <v>0</v>
      </c>
      <c r="AG76" s="18"/>
      <c r="AI76" s="40">
        <f t="shared" si="15"/>
        <v>0</v>
      </c>
      <c r="AJ76" s="40">
        <f t="shared" si="15"/>
        <v>0</v>
      </c>
      <c r="AK76" s="40">
        <f t="shared" si="15"/>
        <v>0</v>
      </c>
      <c r="AL76" s="40">
        <f t="shared" si="15"/>
        <v>0</v>
      </c>
      <c r="AM76" s="40">
        <f t="shared" si="27"/>
        <v>0</v>
      </c>
      <c r="AN76" s="40">
        <f t="shared" si="19"/>
        <v>0</v>
      </c>
      <c r="AP76" s="18"/>
      <c r="AR76" s="40">
        <f t="shared" si="16"/>
        <v>0</v>
      </c>
      <c r="AS76" s="40">
        <f t="shared" si="16"/>
        <v>0</v>
      </c>
      <c r="AT76" s="40">
        <f t="shared" si="16"/>
        <v>0</v>
      </c>
      <c r="AU76" s="40">
        <f t="shared" si="16"/>
        <v>0</v>
      </c>
      <c r="AV76" s="40">
        <f t="shared" si="28"/>
        <v>0</v>
      </c>
      <c r="AW76" s="40">
        <f t="shared" si="20"/>
        <v>0</v>
      </c>
      <c r="AY76" s="18"/>
    </row>
    <row r="77" spans="2:52" ht="14.25" customHeight="1">
      <c r="B77" s="44" t="s">
        <v>232</v>
      </c>
      <c r="C77" s="57"/>
      <c r="D77" s="44"/>
      <c r="E77" s="44">
        <v>12</v>
      </c>
      <c r="F77" s="44" t="s">
        <v>36</v>
      </c>
      <c r="G77" s="44" t="s">
        <v>58</v>
      </c>
      <c r="H77" s="53">
        <f t="shared" si="12"/>
        <v>2</v>
      </c>
      <c r="I77" s="44" t="s">
        <v>36</v>
      </c>
      <c r="J77" s="54" t="s">
        <v>58</v>
      </c>
      <c r="K77" s="53">
        <f t="shared" si="13"/>
        <v>2</v>
      </c>
      <c r="L77" s="44" t="s">
        <v>239</v>
      </c>
      <c r="M77" s="44" t="s">
        <v>240</v>
      </c>
      <c r="N77" s="17" t="s">
        <v>320</v>
      </c>
      <c r="O77" t="s">
        <v>241</v>
      </c>
      <c r="Q77" s="40">
        <f t="shared" si="25"/>
        <v>0</v>
      </c>
      <c r="R77" s="40">
        <f t="shared" si="25"/>
        <v>0</v>
      </c>
      <c r="S77" s="40">
        <f t="shared" si="25"/>
        <v>0</v>
      </c>
      <c r="T77" s="40">
        <f t="shared" si="25"/>
        <v>0</v>
      </c>
      <c r="U77" s="40">
        <f t="shared" si="25"/>
        <v>0</v>
      </c>
      <c r="V77" s="40">
        <f t="shared" si="25"/>
        <v>2</v>
      </c>
      <c r="X77" s="18" t="s">
        <v>326</v>
      </c>
      <c r="Z77" s="40">
        <f t="shared" si="14"/>
        <v>0</v>
      </c>
      <c r="AA77" s="40">
        <f t="shared" si="14"/>
        <v>0</v>
      </c>
      <c r="AB77" s="40">
        <f t="shared" si="14"/>
        <v>0</v>
      </c>
      <c r="AC77" s="40">
        <f t="shared" si="14"/>
        <v>0</v>
      </c>
      <c r="AD77" s="40">
        <f t="shared" si="26"/>
        <v>0</v>
      </c>
      <c r="AE77" s="40">
        <f t="shared" si="18"/>
        <v>0</v>
      </c>
      <c r="AG77" s="18"/>
      <c r="AI77" s="40">
        <f t="shared" si="15"/>
        <v>0</v>
      </c>
      <c r="AJ77" s="40">
        <f t="shared" si="15"/>
        <v>0</v>
      </c>
      <c r="AK77" s="40">
        <f t="shared" si="15"/>
        <v>0</v>
      </c>
      <c r="AL77" s="40">
        <f t="shared" si="15"/>
        <v>0</v>
      </c>
      <c r="AM77" s="40">
        <f t="shared" si="27"/>
        <v>0</v>
      </c>
      <c r="AN77" s="40">
        <f t="shared" si="19"/>
        <v>0</v>
      </c>
      <c r="AP77" s="18"/>
      <c r="AR77" s="40">
        <f t="shared" si="16"/>
        <v>0</v>
      </c>
      <c r="AS77" s="40">
        <f t="shared" si="16"/>
        <v>0</v>
      </c>
      <c r="AT77" s="40">
        <f t="shared" si="16"/>
        <v>0</v>
      </c>
      <c r="AU77" s="40">
        <f t="shared" si="16"/>
        <v>0</v>
      </c>
      <c r="AV77" s="40">
        <f t="shared" si="28"/>
        <v>0</v>
      </c>
      <c r="AW77" s="40">
        <f t="shared" si="20"/>
        <v>0</v>
      </c>
      <c r="AY77" s="18"/>
    </row>
    <row r="78" spans="2:52">
      <c r="B78" s="44" t="s">
        <v>242</v>
      </c>
      <c r="C78" s="57"/>
      <c r="D78" s="44">
        <v>58</v>
      </c>
      <c r="E78" s="44">
        <v>58</v>
      </c>
      <c r="F78" s="44" t="s">
        <v>330</v>
      </c>
      <c r="G78" s="44" t="s">
        <v>37</v>
      </c>
      <c r="H78" s="53">
        <f t="shared" ref="H78:H102" si="29">IF(ISERR(VALUE(G78)),0,VALUE(G78))</f>
        <v>4</v>
      </c>
      <c r="I78" s="44" t="s">
        <v>330</v>
      </c>
      <c r="J78" s="54" t="s">
        <v>37</v>
      </c>
      <c r="K78" s="53">
        <f t="shared" ref="K78:K102" si="30">IF(ISERR(VALUE(J78)),0,VALUE(J78))</f>
        <v>4</v>
      </c>
      <c r="L78" s="44" t="s">
        <v>243</v>
      </c>
      <c r="M78" s="44" t="s">
        <v>244</v>
      </c>
      <c r="N78" s="17" t="s">
        <v>320</v>
      </c>
      <c r="O78" t="s">
        <v>338</v>
      </c>
      <c r="Q78" s="40">
        <f t="shared" si="25"/>
        <v>0</v>
      </c>
      <c r="R78" s="40">
        <f t="shared" si="25"/>
        <v>0</v>
      </c>
      <c r="S78" s="40">
        <f t="shared" si="25"/>
        <v>0</v>
      </c>
      <c r="T78" s="40">
        <f t="shared" si="25"/>
        <v>4</v>
      </c>
      <c r="U78" s="40">
        <f t="shared" si="25"/>
        <v>0</v>
      </c>
      <c r="V78" s="40">
        <f t="shared" si="25"/>
        <v>0</v>
      </c>
      <c r="X78" s="18" t="s">
        <v>326</v>
      </c>
      <c r="Z78" s="40">
        <f t="shared" ref="Z78:AC102" si="31">IF(AND($AG78="x",$F78=Z$1),$H78,0)</f>
        <v>0</v>
      </c>
      <c r="AA78" s="40">
        <f t="shared" si="31"/>
        <v>0</v>
      </c>
      <c r="AB78" s="40">
        <f t="shared" si="31"/>
        <v>0</v>
      </c>
      <c r="AC78" s="40">
        <f t="shared" si="31"/>
        <v>0</v>
      </c>
      <c r="AD78" s="40">
        <f t="shared" si="26"/>
        <v>0</v>
      </c>
      <c r="AE78" s="40">
        <f t="shared" si="18"/>
        <v>0</v>
      </c>
      <c r="AG78" s="18"/>
      <c r="AI78" s="40">
        <f t="shared" ref="AI78:AL102" si="32">IF(AND($AP78="x",$I78=AI$1),$K78,0)</f>
        <v>0</v>
      </c>
      <c r="AJ78" s="40">
        <f t="shared" si="32"/>
        <v>0</v>
      </c>
      <c r="AK78" s="40">
        <f t="shared" si="32"/>
        <v>0</v>
      </c>
      <c r="AL78" s="40">
        <f t="shared" si="32"/>
        <v>4</v>
      </c>
      <c r="AM78" s="40">
        <f t="shared" si="27"/>
        <v>0</v>
      </c>
      <c r="AN78" s="40">
        <f t="shared" si="19"/>
        <v>0</v>
      </c>
      <c r="AP78" s="18" t="s">
        <v>326</v>
      </c>
      <c r="AR78" s="40">
        <f t="shared" ref="AR78:AU102" si="33">IF(AND($AY78="x",$I78=AR$1),$K78,0)</f>
        <v>0</v>
      </c>
      <c r="AS78" s="40">
        <f t="shared" si="33"/>
        <v>0</v>
      </c>
      <c r="AT78" s="40">
        <f t="shared" si="33"/>
        <v>0</v>
      </c>
      <c r="AU78" s="40">
        <f t="shared" si="33"/>
        <v>0</v>
      </c>
      <c r="AV78" s="40">
        <f t="shared" si="28"/>
        <v>0</v>
      </c>
      <c r="AW78" s="40">
        <f t="shared" si="20"/>
        <v>0</v>
      </c>
      <c r="AY78" s="18"/>
    </row>
    <row r="79" spans="2:52">
      <c r="B79" s="44" t="s">
        <v>242</v>
      </c>
      <c r="C79" s="57"/>
      <c r="D79" s="44">
        <v>59</v>
      </c>
      <c r="E79" s="44">
        <v>59</v>
      </c>
      <c r="F79" s="44" t="s">
        <v>53</v>
      </c>
      <c r="G79" s="44" t="s">
        <v>37</v>
      </c>
      <c r="H79" s="53">
        <f t="shared" si="29"/>
        <v>4</v>
      </c>
      <c r="I79" s="44" t="s">
        <v>53</v>
      </c>
      <c r="J79" s="54" t="s">
        <v>37</v>
      </c>
      <c r="K79" s="53">
        <f t="shared" si="30"/>
        <v>4</v>
      </c>
      <c r="L79" s="44" t="s">
        <v>245</v>
      </c>
      <c r="M79" s="44" t="s">
        <v>246</v>
      </c>
      <c r="N79" s="17" t="s">
        <v>320</v>
      </c>
      <c r="O79" t="s">
        <v>247</v>
      </c>
      <c r="Q79" s="40">
        <f t="shared" si="25"/>
        <v>0</v>
      </c>
      <c r="R79" s="40">
        <f t="shared" si="25"/>
        <v>0</v>
      </c>
      <c r="S79" s="40">
        <f t="shared" si="25"/>
        <v>0</v>
      </c>
      <c r="T79" s="40">
        <f t="shared" si="25"/>
        <v>0</v>
      </c>
      <c r="U79" s="40">
        <f t="shared" si="25"/>
        <v>4</v>
      </c>
      <c r="V79" s="40">
        <f t="shared" si="25"/>
        <v>0</v>
      </c>
      <c r="X79" s="18" t="s">
        <v>326</v>
      </c>
      <c r="Z79" s="40">
        <f t="shared" si="31"/>
        <v>0</v>
      </c>
      <c r="AA79" s="40">
        <f t="shared" si="31"/>
        <v>0</v>
      </c>
      <c r="AB79" s="40">
        <f t="shared" si="31"/>
        <v>0</v>
      </c>
      <c r="AC79" s="40">
        <f t="shared" si="31"/>
        <v>0</v>
      </c>
      <c r="AD79" s="40">
        <f t="shared" si="26"/>
        <v>0</v>
      </c>
      <c r="AE79" s="40">
        <f t="shared" si="18"/>
        <v>0</v>
      </c>
      <c r="AG79" s="18"/>
      <c r="AI79" s="40">
        <f t="shared" si="32"/>
        <v>0</v>
      </c>
      <c r="AJ79" s="40">
        <f t="shared" si="32"/>
        <v>0</v>
      </c>
      <c r="AK79" s="40">
        <f t="shared" si="32"/>
        <v>0</v>
      </c>
      <c r="AL79" s="40">
        <f t="shared" si="32"/>
        <v>0</v>
      </c>
      <c r="AM79" s="40">
        <f t="shared" si="27"/>
        <v>4</v>
      </c>
      <c r="AN79" s="40">
        <f t="shared" si="19"/>
        <v>0</v>
      </c>
      <c r="AP79" s="18" t="s">
        <v>326</v>
      </c>
      <c r="AR79" s="40">
        <f t="shared" si="33"/>
        <v>0</v>
      </c>
      <c r="AS79" s="40">
        <f t="shared" si="33"/>
        <v>0</v>
      </c>
      <c r="AT79" s="40">
        <f t="shared" si="33"/>
        <v>0</v>
      </c>
      <c r="AU79" s="40">
        <f t="shared" si="33"/>
        <v>0</v>
      </c>
      <c r="AV79" s="40">
        <f t="shared" si="28"/>
        <v>0</v>
      </c>
      <c r="AW79" s="40">
        <f t="shared" si="20"/>
        <v>0</v>
      </c>
      <c r="AY79" s="18"/>
    </row>
    <row r="80" spans="2:52">
      <c r="B80" s="44" t="s">
        <v>242</v>
      </c>
      <c r="C80" s="57"/>
      <c r="D80" s="44">
        <v>60</v>
      </c>
      <c r="E80" s="44">
        <v>60</v>
      </c>
      <c r="F80" s="44" t="s">
        <v>329</v>
      </c>
      <c r="G80" s="44" t="s">
        <v>37</v>
      </c>
      <c r="H80" s="53">
        <f t="shared" si="29"/>
        <v>4</v>
      </c>
      <c r="I80" s="44" t="s">
        <v>329</v>
      </c>
      <c r="J80" s="54" t="s">
        <v>37</v>
      </c>
      <c r="K80" s="53">
        <f t="shared" si="30"/>
        <v>4</v>
      </c>
      <c r="L80" s="44" t="s">
        <v>248</v>
      </c>
      <c r="M80" s="44" t="s">
        <v>249</v>
      </c>
      <c r="N80" s="17" t="s">
        <v>320</v>
      </c>
      <c r="O80" t="s">
        <v>250</v>
      </c>
      <c r="Q80" s="40">
        <f t="shared" si="25"/>
        <v>0</v>
      </c>
      <c r="R80" s="40">
        <f t="shared" si="25"/>
        <v>0</v>
      </c>
      <c r="S80" s="40">
        <f t="shared" si="25"/>
        <v>4</v>
      </c>
      <c r="T80" s="40">
        <f t="shared" si="25"/>
        <v>0</v>
      </c>
      <c r="U80" s="40">
        <f t="shared" si="25"/>
        <v>0</v>
      </c>
      <c r="V80" s="40">
        <f t="shared" si="25"/>
        <v>0</v>
      </c>
      <c r="X80" s="18" t="s">
        <v>326</v>
      </c>
      <c r="Z80" s="40">
        <f t="shared" si="31"/>
        <v>0</v>
      </c>
      <c r="AA80" s="40">
        <f t="shared" si="31"/>
        <v>0</v>
      </c>
      <c r="AB80" s="40">
        <f t="shared" si="31"/>
        <v>0</v>
      </c>
      <c r="AC80" s="40">
        <f t="shared" si="31"/>
        <v>0</v>
      </c>
      <c r="AD80" s="40">
        <f t="shared" si="26"/>
        <v>0</v>
      </c>
      <c r="AE80" s="40">
        <f t="shared" si="18"/>
        <v>0</v>
      </c>
      <c r="AG80" s="18"/>
      <c r="AI80" s="40">
        <f t="shared" si="32"/>
        <v>0</v>
      </c>
      <c r="AJ80" s="40">
        <f t="shared" si="32"/>
        <v>0</v>
      </c>
      <c r="AK80" s="40">
        <f t="shared" si="32"/>
        <v>4</v>
      </c>
      <c r="AL80" s="40">
        <f t="shared" si="32"/>
        <v>0</v>
      </c>
      <c r="AM80" s="40">
        <f t="shared" si="27"/>
        <v>0</v>
      </c>
      <c r="AN80" s="40">
        <f t="shared" si="19"/>
        <v>0</v>
      </c>
      <c r="AP80" s="18" t="s">
        <v>326</v>
      </c>
      <c r="AR80" s="40">
        <f t="shared" si="33"/>
        <v>0</v>
      </c>
      <c r="AS80" s="40">
        <f t="shared" si="33"/>
        <v>0</v>
      </c>
      <c r="AT80" s="40">
        <f t="shared" si="33"/>
        <v>0</v>
      </c>
      <c r="AU80" s="40">
        <f t="shared" si="33"/>
        <v>0</v>
      </c>
      <c r="AV80" s="40">
        <f t="shared" si="28"/>
        <v>0</v>
      </c>
      <c r="AW80" s="40">
        <f t="shared" si="20"/>
        <v>0</v>
      </c>
      <c r="AY80" s="18"/>
    </row>
    <row r="81" spans="2:51">
      <c r="B81" s="44" t="s">
        <v>251</v>
      </c>
      <c r="C81" s="57"/>
      <c r="D81" s="44"/>
      <c r="E81" s="44"/>
      <c r="F81" s="44" t="s">
        <v>252</v>
      </c>
      <c r="G81" s="44" t="s">
        <v>253</v>
      </c>
      <c r="H81" s="53">
        <f t="shared" si="29"/>
        <v>10</v>
      </c>
      <c r="I81" s="44" t="s">
        <v>252</v>
      </c>
      <c r="J81" s="54" t="s">
        <v>253</v>
      </c>
      <c r="K81" s="53">
        <f t="shared" si="30"/>
        <v>10</v>
      </c>
      <c r="L81" s="44" t="s">
        <v>254</v>
      </c>
      <c r="M81" s="44" t="s">
        <v>254</v>
      </c>
      <c r="N81" s="17" t="s">
        <v>320</v>
      </c>
      <c r="O81" t="s">
        <v>255</v>
      </c>
      <c r="Q81" s="40">
        <f t="shared" si="25"/>
        <v>0</v>
      </c>
      <c r="R81" s="40">
        <f t="shared" si="25"/>
        <v>0</v>
      </c>
      <c r="S81" s="40">
        <f t="shared" si="25"/>
        <v>0</v>
      </c>
      <c r="T81" s="40">
        <f t="shared" si="25"/>
        <v>0</v>
      </c>
      <c r="U81" s="40">
        <f t="shared" si="25"/>
        <v>0</v>
      </c>
      <c r="V81" s="40">
        <f t="shared" si="25"/>
        <v>0</v>
      </c>
      <c r="X81" s="18"/>
      <c r="Z81" s="40">
        <f t="shared" si="31"/>
        <v>0</v>
      </c>
      <c r="AA81" s="40">
        <f t="shared" si="31"/>
        <v>0</v>
      </c>
      <c r="AB81" s="40">
        <f t="shared" si="31"/>
        <v>0</v>
      </c>
      <c r="AC81" s="40">
        <f t="shared" si="31"/>
        <v>0</v>
      </c>
      <c r="AD81" s="40">
        <f t="shared" si="26"/>
        <v>0</v>
      </c>
      <c r="AE81" s="40">
        <f t="shared" si="18"/>
        <v>0</v>
      </c>
      <c r="AG81" s="18"/>
      <c r="AI81" s="40">
        <f t="shared" si="32"/>
        <v>0</v>
      </c>
      <c r="AJ81" s="40">
        <f t="shared" si="32"/>
        <v>0</v>
      </c>
      <c r="AK81" s="40">
        <f t="shared" si="32"/>
        <v>0</v>
      </c>
      <c r="AL81" s="40">
        <f t="shared" si="32"/>
        <v>0</v>
      </c>
      <c r="AM81" s="40">
        <f t="shared" si="27"/>
        <v>0</v>
      </c>
      <c r="AN81" s="40">
        <f t="shared" si="19"/>
        <v>0</v>
      </c>
      <c r="AP81" s="18"/>
      <c r="AR81" s="40">
        <f t="shared" si="33"/>
        <v>0</v>
      </c>
      <c r="AS81" s="40">
        <f t="shared" si="33"/>
        <v>0</v>
      </c>
      <c r="AT81" s="40">
        <f t="shared" si="33"/>
        <v>0</v>
      </c>
      <c r="AU81" s="40">
        <f t="shared" si="33"/>
        <v>0</v>
      </c>
      <c r="AV81" s="40">
        <f t="shared" si="28"/>
        <v>0</v>
      </c>
      <c r="AW81" s="40">
        <f t="shared" si="20"/>
        <v>0</v>
      </c>
      <c r="AY81" s="18"/>
    </row>
    <row r="82" spans="2:51">
      <c r="B82" s="44" t="s">
        <v>256</v>
      </c>
      <c r="C82" s="57"/>
      <c r="D82" s="44">
        <v>25</v>
      </c>
      <c r="E82" s="44">
        <v>51</v>
      </c>
      <c r="F82" s="44" t="s">
        <v>329</v>
      </c>
      <c r="G82" s="44" t="s">
        <v>257</v>
      </c>
      <c r="H82" s="53">
        <f t="shared" si="29"/>
        <v>2</v>
      </c>
      <c r="I82" s="44" t="s">
        <v>41</v>
      </c>
      <c r="J82" s="54" t="s">
        <v>37</v>
      </c>
      <c r="K82" s="53">
        <f t="shared" si="30"/>
        <v>4</v>
      </c>
      <c r="L82" s="44" t="s">
        <v>258</v>
      </c>
      <c r="M82" s="44" t="s">
        <v>259</v>
      </c>
      <c r="N82" s="17" t="s">
        <v>320</v>
      </c>
      <c r="O82" t="s">
        <v>260</v>
      </c>
      <c r="Q82" s="40">
        <f t="shared" si="25"/>
        <v>0</v>
      </c>
      <c r="R82" s="40">
        <f t="shared" si="25"/>
        <v>0</v>
      </c>
      <c r="S82" s="40">
        <f t="shared" si="25"/>
        <v>2</v>
      </c>
      <c r="T82" s="40">
        <f t="shared" si="25"/>
        <v>0</v>
      </c>
      <c r="U82" s="40">
        <f t="shared" si="25"/>
        <v>0</v>
      </c>
      <c r="V82" s="40">
        <f t="shared" si="25"/>
        <v>0</v>
      </c>
      <c r="X82" s="18" t="s">
        <v>326</v>
      </c>
      <c r="Z82" s="40">
        <f t="shared" si="31"/>
        <v>0</v>
      </c>
      <c r="AA82" s="40">
        <f t="shared" si="31"/>
        <v>0</v>
      </c>
      <c r="AB82" s="40">
        <f t="shared" si="31"/>
        <v>0</v>
      </c>
      <c r="AC82" s="40">
        <f t="shared" si="31"/>
        <v>0</v>
      </c>
      <c r="AD82" s="40">
        <f t="shared" si="26"/>
        <v>0</v>
      </c>
      <c r="AE82" s="40">
        <f t="shared" si="18"/>
        <v>0</v>
      </c>
      <c r="AG82" s="18"/>
      <c r="AI82" s="40">
        <f t="shared" si="32"/>
        <v>4</v>
      </c>
      <c r="AJ82" s="40">
        <f t="shared" si="32"/>
        <v>0</v>
      </c>
      <c r="AK82" s="40">
        <f t="shared" si="32"/>
        <v>0</v>
      </c>
      <c r="AL82" s="40">
        <f t="shared" si="32"/>
        <v>0</v>
      </c>
      <c r="AM82" s="40">
        <f t="shared" si="27"/>
        <v>0</v>
      </c>
      <c r="AN82" s="40">
        <f t="shared" si="19"/>
        <v>0</v>
      </c>
      <c r="AP82" s="18" t="s">
        <v>326</v>
      </c>
      <c r="AR82" s="40">
        <f t="shared" si="33"/>
        <v>0</v>
      </c>
      <c r="AS82" s="40">
        <f t="shared" si="33"/>
        <v>0</v>
      </c>
      <c r="AT82" s="40">
        <f t="shared" si="33"/>
        <v>0</v>
      </c>
      <c r="AU82" s="40">
        <f t="shared" si="33"/>
        <v>0</v>
      </c>
      <c r="AV82" s="40">
        <f t="shared" si="28"/>
        <v>0</v>
      </c>
      <c r="AW82" s="40">
        <f t="shared" si="20"/>
        <v>0</v>
      </c>
      <c r="AY82" s="18"/>
    </row>
    <row r="83" spans="2:51">
      <c r="B83" s="44" t="s">
        <v>256</v>
      </c>
      <c r="C83" s="57"/>
      <c r="D83" s="44">
        <v>23</v>
      </c>
      <c r="E83" s="44">
        <v>48</v>
      </c>
      <c r="F83" s="44" t="s">
        <v>36</v>
      </c>
      <c r="G83" s="44" t="s">
        <v>257</v>
      </c>
      <c r="H83" s="53">
        <f t="shared" si="29"/>
        <v>2</v>
      </c>
      <c r="I83" s="44" t="s">
        <v>53</v>
      </c>
      <c r="J83" s="54" t="s">
        <v>42</v>
      </c>
      <c r="K83" s="53">
        <f t="shared" si="30"/>
        <v>3</v>
      </c>
      <c r="L83" s="44" t="s">
        <v>261</v>
      </c>
      <c r="M83" s="44" t="s">
        <v>262</v>
      </c>
      <c r="N83" s="17" t="s">
        <v>320</v>
      </c>
      <c r="O83" t="s">
        <v>263</v>
      </c>
      <c r="Q83" s="40">
        <f t="shared" ref="Q83:V92" si="34">IF(AND($X83="x",$F83=Q$1),$H83,0)</f>
        <v>0</v>
      </c>
      <c r="R83" s="40">
        <f t="shared" si="34"/>
        <v>0</v>
      </c>
      <c r="S83" s="40">
        <f t="shared" si="34"/>
        <v>0</v>
      </c>
      <c r="T83" s="40">
        <f t="shared" si="34"/>
        <v>0</v>
      </c>
      <c r="U83" s="40">
        <f t="shared" si="34"/>
        <v>0</v>
      </c>
      <c r="V83" s="40">
        <f t="shared" si="34"/>
        <v>2</v>
      </c>
      <c r="X83" s="18" t="s">
        <v>326</v>
      </c>
      <c r="Z83" s="40">
        <f t="shared" si="31"/>
        <v>0</v>
      </c>
      <c r="AA83" s="40">
        <f t="shared" si="31"/>
        <v>0</v>
      </c>
      <c r="AB83" s="40">
        <f t="shared" si="31"/>
        <v>0</v>
      </c>
      <c r="AC83" s="40">
        <f t="shared" si="31"/>
        <v>0</v>
      </c>
      <c r="AD83" s="40">
        <f t="shared" si="26"/>
        <v>0</v>
      </c>
      <c r="AE83" s="40">
        <f t="shared" si="18"/>
        <v>0</v>
      </c>
      <c r="AG83" s="18"/>
      <c r="AI83" s="40">
        <f t="shared" si="32"/>
        <v>0</v>
      </c>
      <c r="AJ83" s="40">
        <f t="shared" si="32"/>
        <v>0</v>
      </c>
      <c r="AK83" s="40">
        <f t="shared" si="32"/>
        <v>0</v>
      </c>
      <c r="AL83" s="40">
        <f t="shared" si="32"/>
        <v>0</v>
      </c>
      <c r="AM83" s="40">
        <f t="shared" si="27"/>
        <v>3</v>
      </c>
      <c r="AN83" s="40">
        <f t="shared" si="19"/>
        <v>0</v>
      </c>
      <c r="AP83" s="18" t="s">
        <v>326</v>
      </c>
      <c r="AR83" s="40">
        <f t="shared" si="33"/>
        <v>0</v>
      </c>
      <c r="AS83" s="40">
        <f t="shared" si="33"/>
        <v>0</v>
      </c>
      <c r="AT83" s="40">
        <f t="shared" si="33"/>
        <v>0</v>
      </c>
      <c r="AU83" s="40">
        <f t="shared" si="33"/>
        <v>0</v>
      </c>
      <c r="AV83" s="40">
        <f t="shared" si="28"/>
        <v>0</v>
      </c>
      <c r="AW83" s="40">
        <f t="shared" si="20"/>
        <v>0</v>
      </c>
      <c r="AY83" s="18"/>
    </row>
    <row r="84" spans="2:51">
      <c r="B84" s="44" t="s">
        <v>256</v>
      </c>
      <c r="C84" s="57"/>
      <c r="D84" s="44">
        <v>24</v>
      </c>
      <c r="E84" s="44">
        <v>49</v>
      </c>
      <c r="F84" s="44" t="s">
        <v>330</v>
      </c>
      <c r="G84" s="44" t="s">
        <v>257</v>
      </c>
      <c r="H84" s="53">
        <f t="shared" si="29"/>
        <v>2</v>
      </c>
      <c r="I84" s="44" t="s">
        <v>36</v>
      </c>
      <c r="J84" s="54" t="s">
        <v>264</v>
      </c>
      <c r="K84" s="53">
        <f t="shared" si="30"/>
        <v>4</v>
      </c>
      <c r="L84" s="44" t="s">
        <v>265</v>
      </c>
      <c r="M84" s="44" t="s">
        <v>266</v>
      </c>
      <c r="N84" s="17" t="s">
        <v>320</v>
      </c>
      <c r="O84" t="s">
        <v>339</v>
      </c>
      <c r="Q84" s="40">
        <f t="shared" si="34"/>
        <v>0</v>
      </c>
      <c r="R84" s="40">
        <f t="shared" si="34"/>
        <v>0</v>
      </c>
      <c r="S84" s="40">
        <f t="shared" si="34"/>
        <v>0</v>
      </c>
      <c r="T84" s="40">
        <f t="shared" si="34"/>
        <v>2</v>
      </c>
      <c r="U84" s="40">
        <f t="shared" si="34"/>
        <v>0</v>
      </c>
      <c r="V84" s="40">
        <f t="shared" si="34"/>
        <v>0</v>
      </c>
      <c r="X84" s="18" t="s">
        <v>326</v>
      </c>
      <c r="Z84" s="40">
        <f t="shared" si="31"/>
        <v>0</v>
      </c>
      <c r="AA84" s="40">
        <f t="shared" si="31"/>
        <v>0</v>
      </c>
      <c r="AB84" s="40">
        <f t="shared" si="31"/>
        <v>0</v>
      </c>
      <c r="AC84" s="40">
        <f t="shared" si="31"/>
        <v>0</v>
      </c>
      <c r="AD84" s="40">
        <f t="shared" si="26"/>
        <v>0</v>
      </c>
      <c r="AE84" s="40">
        <f t="shared" si="18"/>
        <v>0</v>
      </c>
      <c r="AG84" s="18"/>
      <c r="AI84" s="40">
        <f t="shared" si="32"/>
        <v>0</v>
      </c>
      <c r="AJ84" s="40">
        <f t="shared" si="32"/>
        <v>0</v>
      </c>
      <c r="AK84" s="40">
        <f t="shared" si="32"/>
        <v>0</v>
      </c>
      <c r="AL84" s="40">
        <f t="shared" si="32"/>
        <v>0</v>
      </c>
      <c r="AM84" s="40">
        <f t="shared" si="27"/>
        <v>0</v>
      </c>
      <c r="AN84" s="40">
        <f t="shared" si="19"/>
        <v>4</v>
      </c>
      <c r="AP84" s="18" t="s">
        <v>326</v>
      </c>
      <c r="AR84" s="40">
        <f t="shared" si="33"/>
        <v>0</v>
      </c>
      <c r="AS84" s="40">
        <f t="shared" si="33"/>
        <v>0</v>
      </c>
      <c r="AT84" s="40">
        <f t="shared" si="33"/>
        <v>0</v>
      </c>
      <c r="AU84" s="40">
        <f t="shared" si="33"/>
        <v>0</v>
      </c>
      <c r="AV84" s="40">
        <f t="shared" si="28"/>
        <v>0</v>
      </c>
      <c r="AW84" s="40">
        <f t="shared" si="20"/>
        <v>0</v>
      </c>
      <c r="AY84" s="18"/>
    </row>
    <row r="85" spans="2:51">
      <c r="B85" s="44" t="s">
        <v>256</v>
      </c>
      <c r="C85" s="57"/>
      <c r="D85" s="44">
        <v>26</v>
      </c>
      <c r="E85" s="44"/>
      <c r="F85" s="44" t="s">
        <v>46</v>
      </c>
      <c r="G85" s="44" t="s">
        <v>267</v>
      </c>
      <c r="H85" s="53">
        <f t="shared" si="29"/>
        <v>2</v>
      </c>
      <c r="I85" s="44" t="s">
        <v>71</v>
      </c>
      <c r="J85" s="54" t="s">
        <v>71</v>
      </c>
      <c r="K85" s="53">
        <f t="shared" si="30"/>
        <v>0</v>
      </c>
      <c r="L85" s="44" t="s">
        <v>268</v>
      </c>
      <c r="M85" s="44" t="s">
        <v>269</v>
      </c>
      <c r="N85" s="17" t="s">
        <v>320</v>
      </c>
      <c r="O85" t="s">
        <v>270</v>
      </c>
      <c r="Q85" s="40">
        <f t="shared" si="34"/>
        <v>0</v>
      </c>
      <c r="R85" s="40">
        <f t="shared" si="34"/>
        <v>2</v>
      </c>
      <c r="S85" s="40">
        <f t="shared" si="34"/>
        <v>0</v>
      </c>
      <c r="T85" s="40">
        <f t="shared" si="34"/>
        <v>0</v>
      </c>
      <c r="U85" s="40">
        <f t="shared" si="34"/>
        <v>0</v>
      </c>
      <c r="V85" s="40">
        <f t="shared" si="34"/>
        <v>0</v>
      </c>
      <c r="X85" s="18" t="s">
        <v>326</v>
      </c>
      <c r="Z85" s="40">
        <f t="shared" si="31"/>
        <v>0</v>
      </c>
      <c r="AA85" s="40">
        <f t="shared" si="31"/>
        <v>2</v>
      </c>
      <c r="AB85" s="40">
        <f t="shared" si="31"/>
        <v>0</v>
      </c>
      <c r="AC85" s="40">
        <f t="shared" si="31"/>
        <v>0</v>
      </c>
      <c r="AD85" s="40">
        <f t="shared" si="26"/>
        <v>0</v>
      </c>
      <c r="AE85" s="40">
        <f t="shared" si="18"/>
        <v>0</v>
      </c>
      <c r="AG85" s="18" t="s">
        <v>326</v>
      </c>
      <c r="AI85" s="40">
        <f t="shared" si="32"/>
        <v>0</v>
      </c>
      <c r="AJ85" s="40">
        <f t="shared" si="32"/>
        <v>0</v>
      </c>
      <c r="AK85" s="40">
        <f t="shared" si="32"/>
        <v>0</v>
      </c>
      <c r="AL85" s="40">
        <f t="shared" si="32"/>
        <v>0</v>
      </c>
      <c r="AM85" s="40">
        <f t="shared" si="27"/>
        <v>0</v>
      </c>
      <c r="AN85" s="40">
        <f t="shared" si="19"/>
        <v>0</v>
      </c>
      <c r="AP85" s="18"/>
      <c r="AR85" s="40">
        <f t="shared" si="33"/>
        <v>0</v>
      </c>
      <c r="AS85" s="40">
        <f t="shared" si="33"/>
        <v>0</v>
      </c>
      <c r="AT85" s="40">
        <f t="shared" si="33"/>
        <v>0</v>
      </c>
      <c r="AU85" s="40">
        <f t="shared" si="33"/>
        <v>0</v>
      </c>
      <c r="AV85" s="40">
        <f t="shared" si="28"/>
        <v>0</v>
      </c>
      <c r="AW85" s="40">
        <f t="shared" si="20"/>
        <v>0</v>
      </c>
      <c r="AY85" s="18"/>
    </row>
    <row r="86" spans="2:51">
      <c r="B86" s="44" t="s">
        <v>256</v>
      </c>
      <c r="C86" s="57"/>
      <c r="D86" s="44">
        <v>27</v>
      </c>
      <c r="E86" s="44"/>
      <c r="F86" s="44" t="s">
        <v>70</v>
      </c>
      <c r="G86" s="44" t="s">
        <v>71</v>
      </c>
      <c r="H86" s="53">
        <f t="shared" si="29"/>
        <v>0</v>
      </c>
      <c r="I86" s="44"/>
      <c r="J86" s="54" t="s">
        <v>71</v>
      </c>
      <c r="K86" s="53">
        <f t="shared" si="30"/>
        <v>0</v>
      </c>
      <c r="L86" s="44" t="s">
        <v>271</v>
      </c>
      <c r="M86" s="44" t="s">
        <v>158</v>
      </c>
      <c r="N86" s="17" t="s">
        <v>320</v>
      </c>
      <c r="O86" t="s">
        <v>272</v>
      </c>
      <c r="Q86" s="40">
        <f t="shared" si="34"/>
        <v>0</v>
      </c>
      <c r="R86" s="40">
        <f t="shared" si="34"/>
        <v>0</v>
      </c>
      <c r="S86" s="40">
        <f t="shared" si="34"/>
        <v>0</v>
      </c>
      <c r="T86" s="40">
        <f t="shared" si="34"/>
        <v>0</v>
      </c>
      <c r="U86" s="40">
        <f t="shared" si="34"/>
        <v>0</v>
      </c>
      <c r="V86" s="40">
        <f t="shared" si="34"/>
        <v>0</v>
      </c>
      <c r="X86" s="18" t="s">
        <v>326</v>
      </c>
      <c r="Z86" s="40">
        <f t="shared" si="31"/>
        <v>0</v>
      </c>
      <c r="AA86" s="40">
        <f t="shared" si="31"/>
        <v>0</v>
      </c>
      <c r="AB86" s="40">
        <f t="shared" si="31"/>
        <v>0</v>
      </c>
      <c r="AC86" s="40">
        <f t="shared" si="31"/>
        <v>0</v>
      </c>
      <c r="AD86" s="40">
        <f t="shared" si="26"/>
        <v>0</v>
      </c>
      <c r="AE86" s="40">
        <f t="shared" si="18"/>
        <v>0</v>
      </c>
      <c r="AG86" s="18"/>
      <c r="AI86" s="40">
        <f t="shared" si="32"/>
        <v>0</v>
      </c>
      <c r="AJ86" s="40">
        <f t="shared" si="32"/>
        <v>0</v>
      </c>
      <c r="AK86" s="40">
        <f t="shared" si="32"/>
        <v>0</v>
      </c>
      <c r="AL86" s="40">
        <f t="shared" si="32"/>
        <v>0</v>
      </c>
      <c r="AM86" s="40">
        <f t="shared" si="27"/>
        <v>0</v>
      </c>
      <c r="AN86" s="40">
        <f t="shared" si="19"/>
        <v>0</v>
      </c>
      <c r="AP86" s="18"/>
      <c r="AR86" s="40">
        <f t="shared" si="33"/>
        <v>0</v>
      </c>
      <c r="AS86" s="40">
        <f t="shared" si="33"/>
        <v>0</v>
      </c>
      <c r="AT86" s="40">
        <f t="shared" si="33"/>
        <v>0</v>
      </c>
      <c r="AU86" s="40">
        <f t="shared" si="33"/>
        <v>0</v>
      </c>
      <c r="AV86" s="40">
        <f t="shared" si="28"/>
        <v>0</v>
      </c>
      <c r="AW86" s="40">
        <f t="shared" si="20"/>
        <v>0</v>
      </c>
      <c r="AY86" s="18"/>
    </row>
    <row r="87" spans="2:51">
      <c r="B87" s="44" t="s">
        <v>256</v>
      </c>
      <c r="C87" s="57"/>
      <c r="D87" s="44"/>
      <c r="E87" s="44">
        <v>50</v>
      </c>
      <c r="F87" s="44" t="s">
        <v>71</v>
      </c>
      <c r="G87" s="44" t="s">
        <v>71</v>
      </c>
      <c r="H87" s="53">
        <f t="shared" si="29"/>
        <v>0</v>
      </c>
      <c r="I87" s="44" t="s">
        <v>46</v>
      </c>
      <c r="J87" s="54" t="s">
        <v>37</v>
      </c>
      <c r="K87" s="53">
        <f t="shared" si="30"/>
        <v>4</v>
      </c>
      <c r="L87" s="44" t="s">
        <v>273</v>
      </c>
      <c r="M87" s="44" t="s">
        <v>274</v>
      </c>
      <c r="N87" s="17" t="s">
        <v>320</v>
      </c>
      <c r="O87" t="s">
        <v>275</v>
      </c>
      <c r="Q87" s="40">
        <f t="shared" si="34"/>
        <v>0</v>
      </c>
      <c r="R87" s="40">
        <f t="shared" si="34"/>
        <v>0</v>
      </c>
      <c r="S87" s="40">
        <f t="shared" si="34"/>
        <v>0</v>
      </c>
      <c r="T87" s="40">
        <f t="shared" si="34"/>
        <v>0</v>
      </c>
      <c r="U87" s="40">
        <f t="shared" si="34"/>
        <v>0</v>
      </c>
      <c r="V87" s="40">
        <f t="shared" si="34"/>
        <v>0</v>
      </c>
      <c r="X87" s="18"/>
      <c r="Z87" s="40">
        <f t="shared" si="31"/>
        <v>0</v>
      </c>
      <c r="AA87" s="40">
        <f t="shared" si="31"/>
        <v>0</v>
      </c>
      <c r="AB87" s="40">
        <f t="shared" si="31"/>
        <v>0</v>
      </c>
      <c r="AC87" s="40">
        <f t="shared" si="31"/>
        <v>0</v>
      </c>
      <c r="AD87" s="40">
        <f t="shared" si="26"/>
        <v>0</v>
      </c>
      <c r="AE87" s="40">
        <f t="shared" si="18"/>
        <v>0</v>
      </c>
      <c r="AG87" s="18"/>
      <c r="AI87" s="40">
        <f t="shared" si="32"/>
        <v>0</v>
      </c>
      <c r="AJ87" s="40">
        <f t="shared" si="32"/>
        <v>0</v>
      </c>
      <c r="AK87" s="40">
        <f t="shared" si="32"/>
        <v>0</v>
      </c>
      <c r="AL87" s="40">
        <f t="shared" si="32"/>
        <v>0</v>
      </c>
      <c r="AM87" s="40">
        <f t="shared" si="27"/>
        <v>0</v>
      </c>
      <c r="AN87" s="40">
        <f t="shared" si="19"/>
        <v>0</v>
      </c>
      <c r="AP87" s="18"/>
      <c r="AR87" s="40">
        <f t="shared" si="33"/>
        <v>0</v>
      </c>
      <c r="AS87" s="40">
        <f t="shared" si="33"/>
        <v>0</v>
      </c>
      <c r="AT87" s="40">
        <f t="shared" si="33"/>
        <v>0</v>
      </c>
      <c r="AU87" s="40">
        <f t="shared" si="33"/>
        <v>0</v>
      </c>
      <c r="AV87" s="40">
        <f t="shared" si="28"/>
        <v>0</v>
      </c>
      <c r="AW87" s="40">
        <f t="shared" si="20"/>
        <v>0</v>
      </c>
      <c r="AY87" s="18"/>
    </row>
    <row r="88" spans="2:51">
      <c r="B88" s="44" t="s">
        <v>256</v>
      </c>
      <c r="C88" s="57"/>
      <c r="D88" s="44"/>
      <c r="E88" s="44">
        <v>52</v>
      </c>
      <c r="F88" s="44" t="s">
        <v>71</v>
      </c>
      <c r="G88" s="44" t="s">
        <v>71</v>
      </c>
      <c r="H88" s="53">
        <f t="shared" si="29"/>
        <v>0</v>
      </c>
      <c r="I88" s="44" t="s">
        <v>330</v>
      </c>
      <c r="J88" s="54" t="s">
        <v>37</v>
      </c>
      <c r="K88" s="53">
        <f t="shared" si="30"/>
        <v>4</v>
      </c>
      <c r="L88" s="44" t="s">
        <v>276</v>
      </c>
      <c r="M88" s="44" t="s">
        <v>277</v>
      </c>
      <c r="N88" s="17" t="s">
        <v>320</v>
      </c>
      <c r="O88" t="s">
        <v>340</v>
      </c>
      <c r="Q88" s="40">
        <f t="shared" si="34"/>
        <v>0</v>
      </c>
      <c r="R88" s="40">
        <f t="shared" si="34"/>
        <v>0</v>
      </c>
      <c r="S88" s="40">
        <f t="shared" si="34"/>
        <v>0</v>
      </c>
      <c r="T88" s="40">
        <f t="shared" si="34"/>
        <v>0</v>
      </c>
      <c r="U88" s="40">
        <f t="shared" si="34"/>
        <v>0</v>
      </c>
      <c r="V88" s="40">
        <f t="shared" si="34"/>
        <v>0</v>
      </c>
      <c r="X88" s="18"/>
      <c r="Z88" s="40">
        <f t="shared" si="31"/>
        <v>0</v>
      </c>
      <c r="AA88" s="40">
        <f t="shared" si="31"/>
        <v>0</v>
      </c>
      <c r="AB88" s="40">
        <f t="shared" si="31"/>
        <v>0</v>
      </c>
      <c r="AC88" s="40">
        <f t="shared" si="31"/>
        <v>0</v>
      </c>
      <c r="AD88" s="40">
        <f t="shared" si="26"/>
        <v>0</v>
      </c>
      <c r="AE88" s="40">
        <f t="shared" si="18"/>
        <v>0</v>
      </c>
      <c r="AG88" s="18"/>
      <c r="AI88" s="40">
        <f t="shared" si="32"/>
        <v>0</v>
      </c>
      <c r="AJ88" s="40">
        <f t="shared" si="32"/>
        <v>0</v>
      </c>
      <c r="AK88" s="40">
        <f t="shared" si="32"/>
        <v>0</v>
      </c>
      <c r="AL88" s="40">
        <f t="shared" si="32"/>
        <v>0</v>
      </c>
      <c r="AM88" s="40">
        <f t="shared" si="27"/>
        <v>0</v>
      </c>
      <c r="AN88" s="40">
        <f t="shared" si="19"/>
        <v>0</v>
      </c>
      <c r="AP88" s="18"/>
      <c r="AR88" s="40">
        <f t="shared" si="33"/>
        <v>0</v>
      </c>
      <c r="AS88" s="40">
        <f t="shared" si="33"/>
        <v>0</v>
      </c>
      <c r="AT88" s="40">
        <f t="shared" si="33"/>
        <v>0</v>
      </c>
      <c r="AU88" s="40">
        <f t="shared" si="33"/>
        <v>0</v>
      </c>
      <c r="AV88" s="40">
        <f t="shared" si="28"/>
        <v>0</v>
      </c>
      <c r="AW88" s="40">
        <f t="shared" si="20"/>
        <v>0</v>
      </c>
      <c r="AY88" s="18"/>
    </row>
    <row r="89" spans="2:51">
      <c r="B89" s="44" t="s">
        <v>278</v>
      </c>
      <c r="C89" s="57"/>
      <c r="D89" s="44">
        <v>39</v>
      </c>
      <c r="E89" s="44"/>
      <c r="F89" s="44" t="s">
        <v>330</v>
      </c>
      <c r="G89" s="44" t="s">
        <v>42</v>
      </c>
      <c r="H89" s="53">
        <f t="shared" si="29"/>
        <v>3</v>
      </c>
      <c r="I89" s="44" t="s">
        <v>71</v>
      </c>
      <c r="J89" s="54" t="s">
        <v>71</v>
      </c>
      <c r="K89" s="53">
        <f t="shared" si="30"/>
        <v>0</v>
      </c>
      <c r="L89" s="44" t="s">
        <v>279</v>
      </c>
      <c r="M89" s="44" t="s">
        <v>280</v>
      </c>
      <c r="N89" s="17" t="s">
        <v>320</v>
      </c>
      <c r="O89" t="s">
        <v>341</v>
      </c>
      <c r="Q89" s="40">
        <f t="shared" si="34"/>
        <v>0</v>
      </c>
      <c r="R89" s="40">
        <f t="shared" si="34"/>
        <v>0</v>
      </c>
      <c r="S89" s="40">
        <f t="shared" si="34"/>
        <v>0</v>
      </c>
      <c r="T89" s="40">
        <f t="shared" si="34"/>
        <v>3</v>
      </c>
      <c r="U89" s="40">
        <f t="shared" si="34"/>
        <v>0</v>
      </c>
      <c r="V89" s="40">
        <f t="shared" si="34"/>
        <v>0</v>
      </c>
      <c r="X89" s="18" t="s">
        <v>326</v>
      </c>
      <c r="Z89" s="40">
        <f t="shared" si="31"/>
        <v>0</v>
      </c>
      <c r="AA89" s="40">
        <f t="shared" si="31"/>
        <v>0</v>
      </c>
      <c r="AB89" s="40">
        <f t="shared" si="31"/>
        <v>0</v>
      </c>
      <c r="AC89" s="40">
        <f t="shared" si="31"/>
        <v>0</v>
      </c>
      <c r="AD89" s="40">
        <f t="shared" si="26"/>
        <v>0</v>
      </c>
      <c r="AE89" s="40">
        <f t="shared" si="18"/>
        <v>0</v>
      </c>
      <c r="AG89" s="18"/>
      <c r="AI89" s="40">
        <f t="shared" si="32"/>
        <v>0</v>
      </c>
      <c r="AJ89" s="40">
        <f t="shared" si="32"/>
        <v>0</v>
      </c>
      <c r="AK89" s="40">
        <f t="shared" si="32"/>
        <v>0</v>
      </c>
      <c r="AL89" s="40">
        <f t="shared" si="32"/>
        <v>0</v>
      </c>
      <c r="AM89" s="40">
        <f t="shared" si="27"/>
        <v>0</v>
      </c>
      <c r="AN89" s="40">
        <f t="shared" si="19"/>
        <v>0</v>
      </c>
      <c r="AP89" s="18"/>
      <c r="AR89" s="40">
        <f t="shared" si="33"/>
        <v>0</v>
      </c>
      <c r="AS89" s="40">
        <f t="shared" si="33"/>
        <v>0</v>
      </c>
      <c r="AT89" s="40">
        <f t="shared" si="33"/>
        <v>0</v>
      </c>
      <c r="AU89" s="40">
        <f t="shared" si="33"/>
        <v>0</v>
      </c>
      <c r="AV89" s="40">
        <f t="shared" si="28"/>
        <v>0</v>
      </c>
      <c r="AW89" s="40">
        <f t="shared" si="20"/>
        <v>0</v>
      </c>
      <c r="AY89" s="18"/>
    </row>
    <row r="90" spans="2:51">
      <c r="B90" s="44" t="s">
        <v>278</v>
      </c>
      <c r="C90" s="57"/>
      <c r="D90" s="44">
        <v>42</v>
      </c>
      <c r="E90" s="44">
        <v>42</v>
      </c>
      <c r="F90" s="44" t="s">
        <v>46</v>
      </c>
      <c r="G90" s="44" t="s">
        <v>42</v>
      </c>
      <c r="H90" s="53">
        <f t="shared" si="29"/>
        <v>3</v>
      </c>
      <c r="I90" s="44" t="s">
        <v>46</v>
      </c>
      <c r="J90" s="54" t="s">
        <v>42</v>
      </c>
      <c r="K90" s="53">
        <f t="shared" si="30"/>
        <v>3</v>
      </c>
      <c r="L90" s="44" t="s">
        <v>281</v>
      </c>
      <c r="M90" s="44" t="s">
        <v>282</v>
      </c>
      <c r="N90" s="17" t="s">
        <v>320</v>
      </c>
      <c r="O90" t="s">
        <v>283</v>
      </c>
      <c r="Q90" s="40">
        <f t="shared" si="34"/>
        <v>0</v>
      </c>
      <c r="R90" s="40">
        <f t="shared" si="34"/>
        <v>3</v>
      </c>
      <c r="S90" s="40">
        <f t="shared" si="34"/>
        <v>0</v>
      </c>
      <c r="T90" s="40">
        <f t="shared" si="34"/>
        <v>0</v>
      </c>
      <c r="U90" s="40">
        <f t="shared" si="34"/>
        <v>0</v>
      </c>
      <c r="V90" s="40">
        <f t="shared" si="34"/>
        <v>0</v>
      </c>
      <c r="X90" s="18" t="s">
        <v>326</v>
      </c>
      <c r="Z90" s="40">
        <f t="shared" si="31"/>
        <v>0</v>
      </c>
      <c r="AA90" s="40">
        <f t="shared" si="31"/>
        <v>0</v>
      </c>
      <c r="AB90" s="40">
        <f t="shared" si="31"/>
        <v>0</v>
      </c>
      <c r="AC90" s="40">
        <f t="shared" si="31"/>
        <v>0</v>
      </c>
      <c r="AD90" s="40">
        <f t="shared" si="26"/>
        <v>0</v>
      </c>
      <c r="AE90" s="40">
        <f t="shared" si="18"/>
        <v>0</v>
      </c>
      <c r="AG90" s="18"/>
      <c r="AI90" s="40">
        <f t="shared" si="32"/>
        <v>0</v>
      </c>
      <c r="AJ90" s="40">
        <f t="shared" si="32"/>
        <v>3</v>
      </c>
      <c r="AK90" s="40">
        <f t="shared" si="32"/>
        <v>0</v>
      </c>
      <c r="AL90" s="40">
        <f t="shared" si="32"/>
        <v>0</v>
      </c>
      <c r="AM90" s="40">
        <f t="shared" si="27"/>
        <v>0</v>
      </c>
      <c r="AN90" s="40">
        <f t="shared" si="19"/>
        <v>0</v>
      </c>
      <c r="AP90" s="18" t="s">
        <v>326</v>
      </c>
      <c r="AR90" s="40">
        <f t="shared" si="33"/>
        <v>0</v>
      </c>
      <c r="AS90" s="40">
        <f t="shared" si="33"/>
        <v>0</v>
      </c>
      <c r="AT90" s="40">
        <f t="shared" si="33"/>
        <v>0</v>
      </c>
      <c r="AU90" s="40">
        <f t="shared" si="33"/>
        <v>0</v>
      </c>
      <c r="AV90" s="40">
        <f t="shared" si="28"/>
        <v>0</v>
      </c>
      <c r="AW90" s="40">
        <f t="shared" si="20"/>
        <v>0</v>
      </c>
      <c r="AY90" s="18"/>
    </row>
    <row r="91" spans="2:51">
      <c r="B91" s="44" t="s">
        <v>278</v>
      </c>
      <c r="C91" s="57"/>
      <c r="D91" s="44">
        <v>38</v>
      </c>
      <c r="E91" s="44">
        <v>38</v>
      </c>
      <c r="F91" s="44" t="s">
        <v>36</v>
      </c>
      <c r="G91" s="44" t="s">
        <v>42</v>
      </c>
      <c r="H91" s="53">
        <f t="shared" si="29"/>
        <v>3</v>
      </c>
      <c r="I91" s="44" t="s">
        <v>36</v>
      </c>
      <c r="J91" s="54" t="s">
        <v>42</v>
      </c>
      <c r="K91" s="53">
        <f t="shared" si="30"/>
        <v>3</v>
      </c>
      <c r="L91" s="44" t="s">
        <v>284</v>
      </c>
      <c r="M91" s="44" t="s">
        <v>285</v>
      </c>
      <c r="N91" s="17" t="s">
        <v>320</v>
      </c>
      <c r="O91" t="s">
        <v>286</v>
      </c>
      <c r="Q91" s="40">
        <f t="shared" si="34"/>
        <v>0</v>
      </c>
      <c r="R91" s="40">
        <f t="shared" si="34"/>
        <v>0</v>
      </c>
      <c r="S91" s="40">
        <f t="shared" si="34"/>
        <v>0</v>
      </c>
      <c r="T91" s="40">
        <f t="shared" si="34"/>
        <v>0</v>
      </c>
      <c r="U91" s="40">
        <f t="shared" si="34"/>
        <v>0</v>
      </c>
      <c r="V91" s="40">
        <f t="shared" si="34"/>
        <v>3</v>
      </c>
      <c r="X91" s="18" t="s">
        <v>326</v>
      </c>
      <c r="Z91" s="40">
        <f t="shared" si="31"/>
        <v>0</v>
      </c>
      <c r="AA91" s="40">
        <f t="shared" si="31"/>
        <v>0</v>
      </c>
      <c r="AB91" s="40">
        <f t="shared" si="31"/>
        <v>0</v>
      </c>
      <c r="AC91" s="40">
        <f t="shared" si="31"/>
        <v>0</v>
      </c>
      <c r="AD91" s="40">
        <f t="shared" si="26"/>
        <v>0</v>
      </c>
      <c r="AE91" s="40">
        <f t="shared" si="18"/>
        <v>0</v>
      </c>
      <c r="AG91" s="18"/>
      <c r="AI91" s="40">
        <f t="shared" si="32"/>
        <v>0</v>
      </c>
      <c r="AJ91" s="40">
        <f t="shared" si="32"/>
        <v>0</v>
      </c>
      <c r="AK91" s="40">
        <f t="shared" si="32"/>
        <v>0</v>
      </c>
      <c r="AL91" s="40">
        <f t="shared" si="32"/>
        <v>0</v>
      </c>
      <c r="AM91" s="40">
        <f t="shared" si="27"/>
        <v>0</v>
      </c>
      <c r="AN91" s="40">
        <f t="shared" si="19"/>
        <v>3</v>
      </c>
      <c r="AP91" s="18" t="s">
        <v>326</v>
      </c>
      <c r="AR91" s="40">
        <f t="shared" si="33"/>
        <v>0</v>
      </c>
      <c r="AS91" s="40">
        <f t="shared" si="33"/>
        <v>0</v>
      </c>
      <c r="AT91" s="40">
        <f t="shared" si="33"/>
        <v>0</v>
      </c>
      <c r="AU91" s="40">
        <f t="shared" si="33"/>
        <v>0</v>
      </c>
      <c r="AV91" s="40">
        <f t="shared" si="28"/>
        <v>0</v>
      </c>
      <c r="AW91" s="40">
        <f t="shared" si="20"/>
        <v>0</v>
      </c>
      <c r="AY91" s="18"/>
    </row>
    <row r="92" spans="2:51">
      <c r="B92" s="44" t="s">
        <v>278</v>
      </c>
      <c r="C92" s="57"/>
      <c r="D92" s="44">
        <v>40</v>
      </c>
      <c r="E92" s="44">
        <v>40</v>
      </c>
      <c r="F92" s="44" t="s">
        <v>108</v>
      </c>
      <c r="G92" s="44" t="s">
        <v>71</v>
      </c>
      <c r="H92" s="53">
        <f t="shared" si="29"/>
        <v>0</v>
      </c>
      <c r="I92" s="44" t="s">
        <v>108</v>
      </c>
      <c r="J92" s="54" t="s">
        <v>71</v>
      </c>
      <c r="K92" s="53">
        <f t="shared" si="30"/>
        <v>0</v>
      </c>
      <c r="L92" s="44" t="s">
        <v>287</v>
      </c>
      <c r="M92" s="44" t="s">
        <v>288</v>
      </c>
      <c r="N92" s="17" t="s">
        <v>320</v>
      </c>
      <c r="O92" t="s">
        <v>289</v>
      </c>
      <c r="Q92" s="40">
        <f t="shared" si="34"/>
        <v>0</v>
      </c>
      <c r="R92" s="40">
        <f t="shared" si="34"/>
        <v>0</v>
      </c>
      <c r="S92" s="40">
        <f t="shared" si="34"/>
        <v>0</v>
      </c>
      <c r="T92" s="40">
        <f t="shared" si="34"/>
        <v>0</v>
      </c>
      <c r="U92" s="40">
        <f t="shared" si="34"/>
        <v>0</v>
      </c>
      <c r="V92" s="40">
        <f t="shared" si="34"/>
        <v>0</v>
      </c>
      <c r="X92" s="18" t="s">
        <v>326</v>
      </c>
      <c r="Z92" s="40">
        <f t="shared" si="31"/>
        <v>0</v>
      </c>
      <c r="AA92" s="40">
        <f t="shared" si="31"/>
        <v>0</v>
      </c>
      <c r="AB92" s="40">
        <f t="shared" si="31"/>
        <v>0</v>
      </c>
      <c r="AC92" s="40">
        <f t="shared" si="31"/>
        <v>0</v>
      </c>
      <c r="AD92" s="40">
        <f t="shared" si="26"/>
        <v>0</v>
      </c>
      <c r="AE92" s="40">
        <f t="shared" si="18"/>
        <v>0</v>
      </c>
      <c r="AG92" s="18"/>
      <c r="AI92" s="40">
        <f t="shared" si="32"/>
        <v>0</v>
      </c>
      <c r="AJ92" s="40">
        <f t="shared" si="32"/>
        <v>0</v>
      </c>
      <c r="AK92" s="40">
        <f t="shared" si="32"/>
        <v>0</v>
      </c>
      <c r="AL92" s="40">
        <f t="shared" si="32"/>
        <v>0</v>
      </c>
      <c r="AM92" s="40">
        <f t="shared" si="27"/>
        <v>0</v>
      </c>
      <c r="AN92" s="40">
        <f t="shared" si="19"/>
        <v>0</v>
      </c>
      <c r="AP92" s="18" t="s">
        <v>326</v>
      </c>
      <c r="AR92" s="40">
        <f t="shared" si="33"/>
        <v>0</v>
      </c>
      <c r="AS92" s="40">
        <f t="shared" si="33"/>
        <v>0</v>
      </c>
      <c r="AT92" s="40">
        <f t="shared" si="33"/>
        <v>0</v>
      </c>
      <c r="AU92" s="40">
        <f t="shared" si="33"/>
        <v>0</v>
      </c>
      <c r="AV92" s="40">
        <f t="shared" si="28"/>
        <v>0</v>
      </c>
      <c r="AW92" s="40">
        <f t="shared" si="20"/>
        <v>0</v>
      </c>
      <c r="AY92" s="18"/>
    </row>
    <row r="93" spans="2:51">
      <c r="B93" s="44" t="s">
        <v>278</v>
      </c>
      <c r="C93" s="57"/>
      <c r="D93" s="44">
        <v>41</v>
      </c>
      <c r="E93" s="44">
        <v>41</v>
      </c>
      <c r="F93" s="44" t="s">
        <v>329</v>
      </c>
      <c r="G93" s="44" t="s">
        <v>42</v>
      </c>
      <c r="H93" s="53">
        <f t="shared" si="29"/>
        <v>3</v>
      </c>
      <c r="I93" s="44" t="s">
        <v>329</v>
      </c>
      <c r="J93" s="54" t="s">
        <v>42</v>
      </c>
      <c r="K93" s="53">
        <f t="shared" si="30"/>
        <v>3</v>
      </c>
      <c r="L93" s="44" t="s">
        <v>287</v>
      </c>
      <c r="M93" s="44" t="s">
        <v>288</v>
      </c>
      <c r="N93" s="17" t="s">
        <v>320</v>
      </c>
      <c r="O93" t="s">
        <v>290</v>
      </c>
      <c r="Q93" s="40">
        <f t="shared" ref="Q93:V102" si="35">IF(AND($X93="x",$F93=Q$1),$H93,0)</f>
        <v>0</v>
      </c>
      <c r="R93" s="40">
        <f t="shared" si="35"/>
        <v>0</v>
      </c>
      <c r="S93" s="40">
        <f t="shared" si="35"/>
        <v>3</v>
      </c>
      <c r="T93" s="40">
        <f t="shared" si="35"/>
        <v>0</v>
      </c>
      <c r="U93" s="40">
        <f t="shared" si="35"/>
        <v>0</v>
      </c>
      <c r="V93" s="40">
        <f t="shared" si="35"/>
        <v>0</v>
      </c>
      <c r="X93" s="18" t="s">
        <v>326</v>
      </c>
      <c r="Z93" s="40">
        <f t="shared" si="31"/>
        <v>0</v>
      </c>
      <c r="AA93" s="40">
        <f t="shared" si="31"/>
        <v>0</v>
      </c>
      <c r="AB93" s="40">
        <f t="shared" si="31"/>
        <v>0</v>
      </c>
      <c r="AC93" s="40">
        <f t="shared" si="31"/>
        <v>0</v>
      </c>
      <c r="AD93" s="40">
        <f t="shared" si="26"/>
        <v>0</v>
      </c>
      <c r="AE93" s="40">
        <f t="shared" si="26"/>
        <v>0</v>
      </c>
      <c r="AG93" s="18"/>
      <c r="AI93" s="40">
        <f t="shared" si="32"/>
        <v>0</v>
      </c>
      <c r="AJ93" s="40">
        <f t="shared" si="32"/>
        <v>0</v>
      </c>
      <c r="AK93" s="40">
        <f t="shared" si="32"/>
        <v>3</v>
      </c>
      <c r="AL93" s="40">
        <f t="shared" si="32"/>
        <v>0</v>
      </c>
      <c r="AM93" s="40">
        <f t="shared" si="27"/>
        <v>0</v>
      </c>
      <c r="AN93" s="40">
        <f t="shared" si="27"/>
        <v>0</v>
      </c>
      <c r="AP93" s="18" t="s">
        <v>326</v>
      </c>
      <c r="AR93" s="40">
        <f t="shared" si="33"/>
        <v>0</v>
      </c>
      <c r="AS93" s="40">
        <f t="shared" si="33"/>
        <v>0</v>
      </c>
      <c r="AT93" s="40">
        <f t="shared" si="33"/>
        <v>0</v>
      </c>
      <c r="AU93" s="40">
        <f t="shared" si="33"/>
        <v>0</v>
      </c>
      <c r="AV93" s="40">
        <f t="shared" si="28"/>
        <v>0</v>
      </c>
      <c r="AW93" s="40">
        <f t="shared" si="28"/>
        <v>0</v>
      </c>
      <c r="AY93" s="18"/>
    </row>
    <row r="94" spans="2:51">
      <c r="B94" s="44" t="s">
        <v>278</v>
      </c>
      <c r="C94" s="57"/>
      <c r="D94" s="44"/>
      <c r="E94" s="44"/>
      <c r="F94" s="44" t="s">
        <v>71</v>
      </c>
      <c r="G94" s="44" t="s">
        <v>71</v>
      </c>
      <c r="H94" s="53">
        <f t="shared" si="29"/>
        <v>0</v>
      </c>
      <c r="I94" s="44" t="s">
        <v>330</v>
      </c>
      <c r="J94" s="54" t="s">
        <v>42</v>
      </c>
      <c r="K94" s="53">
        <f t="shared" si="30"/>
        <v>3</v>
      </c>
      <c r="L94" s="44" t="s">
        <v>291</v>
      </c>
      <c r="M94" s="44" t="s">
        <v>292</v>
      </c>
      <c r="N94" s="17" t="s">
        <v>320</v>
      </c>
      <c r="O94" t="s">
        <v>342</v>
      </c>
      <c r="Q94" s="40">
        <f t="shared" si="35"/>
        <v>0</v>
      </c>
      <c r="R94" s="40">
        <f t="shared" si="35"/>
        <v>0</v>
      </c>
      <c r="S94" s="40">
        <f t="shared" si="35"/>
        <v>0</v>
      </c>
      <c r="T94" s="40">
        <f t="shared" si="35"/>
        <v>0</v>
      </c>
      <c r="U94" s="40">
        <f t="shared" si="35"/>
        <v>0</v>
      </c>
      <c r="V94" s="40">
        <f t="shared" si="35"/>
        <v>0</v>
      </c>
      <c r="X94" s="18"/>
      <c r="Z94" s="40">
        <f t="shared" si="31"/>
        <v>0</v>
      </c>
      <c r="AA94" s="40">
        <f t="shared" si="31"/>
        <v>0</v>
      </c>
      <c r="AB94" s="40">
        <f t="shared" si="31"/>
        <v>0</v>
      </c>
      <c r="AC94" s="40">
        <f t="shared" si="31"/>
        <v>0</v>
      </c>
      <c r="AD94" s="40">
        <f t="shared" si="26"/>
        <v>0</v>
      </c>
      <c r="AE94" s="40">
        <f t="shared" si="26"/>
        <v>0</v>
      </c>
      <c r="AG94" s="18"/>
      <c r="AI94" s="40">
        <f t="shared" si="32"/>
        <v>0</v>
      </c>
      <c r="AJ94" s="40">
        <f t="shared" si="32"/>
        <v>0</v>
      </c>
      <c r="AK94" s="40">
        <f t="shared" si="32"/>
        <v>0</v>
      </c>
      <c r="AL94" s="40">
        <f t="shared" si="32"/>
        <v>0</v>
      </c>
      <c r="AM94" s="40">
        <f t="shared" si="27"/>
        <v>0</v>
      </c>
      <c r="AN94" s="40">
        <f t="shared" si="27"/>
        <v>0</v>
      </c>
      <c r="AP94" s="18"/>
      <c r="AR94" s="40">
        <f t="shared" si="33"/>
        <v>0</v>
      </c>
      <c r="AS94" s="40">
        <f t="shared" si="33"/>
        <v>0</v>
      </c>
      <c r="AT94" s="40">
        <f t="shared" si="33"/>
        <v>0</v>
      </c>
      <c r="AU94" s="40">
        <f t="shared" si="33"/>
        <v>0</v>
      </c>
      <c r="AV94" s="40">
        <f t="shared" si="28"/>
        <v>0</v>
      </c>
      <c r="AW94" s="40">
        <f t="shared" si="28"/>
        <v>0</v>
      </c>
      <c r="AY94" s="18"/>
    </row>
    <row r="95" spans="2:51">
      <c r="B95" s="44" t="s">
        <v>293</v>
      </c>
      <c r="C95" s="57"/>
      <c r="D95" s="44">
        <v>9</v>
      </c>
      <c r="E95" s="56"/>
      <c r="F95" s="44" t="s">
        <v>53</v>
      </c>
      <c r="G95" s="44" t="s">
        <v>58</v>
      </c>
      <c r="H95" s="53">
        <f t="shared" si="29"/>
        <v>2</v>
      </c>
      <c r="I95" s="44" t="s">
        <v>53</v>
      </c>
      <c r="J95" s="54" t="s">
        <v>58</v>
      </c>
      <c r="K95" s="53">
        <f t="shared" si="30"/>
        <v>2</v>
      </c>
      <c r="L95" s="44" t="s">
        <v>294</v>
      </c>
      <c r="M95" s="44" t="s">
        <v>295</v>
      </c>
      <c r="N95" s="17" t="s">
        <v>320</v>
      </c>
      <c r="O95" t="s">
        <v>296</v>
      </c>
      <c r="Q95" s="40">
        <f t="shared" si="35"/>
        <v>0</v>
      </c>
      <c r="R95" s="40">
        <f t="shared" si="35"/>
        <v>0</v>
      </c>
      <c r="S95" s="40">
        <f t="shared" si="35"/>
        <v>0</v>
      </c>
      <c r="T95" s="40">
        <f t="shared" si="35"/>
        <v>0</v>
      </c>
      <c r="U95" s="40">
        <f t="shared" si="35"/>
        <v>2</v>
      </c>
      <c r="V95" s="40">
        <f t="shared" si="35"/>
        <v>0</v>
      </c>
      <c r="X95" s="18" t="s">
        <v>326</v>
      </c>
      <c r="Z95" s="40">
        <f t="shared" si="31"/>
        <v>0</v>
      </c>
      <c r="AA95" s="40">
        <f t="shared" si="31"/>
        <v>0</v>
      </c>
      <c r="AB95" s="40">
        <f t="shared" si="31"/>
        <v>0</v>
      </c>
      <c r="AC95" s="40">
        <f t="shared" si="31"/>
        <v>0</v>
      </c>
      <c r="AD95" s="40">
        <f t="shared" si="26"/>
        <v>2</v>
      </c>
      <c r="AE95" s="40">
        <f t="shared" si="26"/>
        <v>0</v>
      </c>
      <c r="AG95" s="18" t="s">
        <v>326</v>
      </c>
      <c r="AI95" s="40">
        <f t="shared" si="32"/>
        <v>0</v>
      </c>
      <c r="AJ95" s="40">
        <f t="shared" si="32"/>
        <v>0</v>
      </c>
      <c r="AK95" s="40">
        <f t="shared" si="32"/>
        <v>0</v>
      </c>
      <c r="AL95" s="40">
        <f t="shared" si="32"/>
        <v>0</v>
      </c>
      <c r="AM95" s="40">
        <f t="shared" si="27"/>
        <v>0</v>
      </c>
      <c r="AN95" s="40">
        <f t="shared" si="27"/>
        <v>0</v>
      </c>
      <c r="AP95" s="18"/>
      <c r="AR95" s="40">
        <f t="shared" si="33"/>
        <v>0</v>
      </c>
      <c r="AS95" s="40">
        <f t="shared" si="33"/>
        <v>0</v>
      </c>
      <c r="AT95" s="40">
        <f t="shared" si="33"/>
        <v>0</v>
      </c>
      <c r="AU95" s="40">
        <f t="shared" si="33"/>
        <v>0</v>
      </c>
      <c r="AV95" s="40">
        <f t="shared" si="28"/>
        <v>0</v>
      </c>
      <c r="AW95" s="40">
        <f t="shared" si="28"/>
        <v>0</v>
      </c>
      <c r="AY95" s="18"/>
    </row>
    <row r="96" spans="2:51">
      <c r="B96" s="44" t="s">
        <v>293</v>
      </c>
      <c r="C96" s="57"/>
      <c r="D96" s="44">
        <v>10</v>
      </c>
      <c r="E96" s="56"/>
      <c r="F96" s="44" t="s">
        <v>46</v>
      </c>
      <c r="G96" s="44" t="s">
        <v>267</v>
      </c>
      <c r="H96" s="53">
        <f t="shared" si="29"/>
        <v>2</v>
      </c>
      <c r="I96" s="44" t="s">
        <v>46</v>
      </c>
      <c r="J96" s="54" t="s">
        <v>267</v>
      </c>
      <c r="K96" s="53">
        <f t="shared" si="30"/>
        <v>2</v>
      </c>
      <c r="L96" s="44" t="s">
        <v>297</v>
      </c>
      <c r="M96" s="44" t="s">
        <v>298</v>
      </c>
      <c r="N96" s="17" t="s">
        <v>320</v>
      </c>
      <c r="O96" t="s">
        <v>299</v>
      </c>
      <c r="Q96" s="40">
        <f t="shared" si="35"/>
        <v>0</v>
      </c>
      <c r="R96" s="40">
        <f t="shared" si="35"/>
        <v>2</v>
      </c>
      <c r="S96" s="40">
        <f t="shared" si="35"/>
        <v>0</v>
      </c>
      <c r="T96" s="40">
        <f t="shared" si="35"/>
        <v>0</v>
      </c>
      <c r="U96" s="40">
        <f t="shared" si="35"/>
        <v>0</v>
      </c>
      <c r="V96" s="40">
        <f t="shared" si="35"/>
        <v>0</v>
      </c>
      <c r="X96" s="18" t="s">
        <v>326</v>
      </c>
      <c r="Z96" s="40">
        <f t="shared" si="31"/>
        <v>0</v>
      </c>
      <c r="AA96" s="40">
        <f t="shared" si="31"/>
        <v>2</v>
      </c>
      <c r="AB96" s="40">
        <f t="shared" si="31"/>
        <v>0</v>
      </c>
      <c r="AC96" s="40">
        <f t="shared" si="31"/>
        <v>0</v>
      </c>
      <c r="AD96" s="40">
        <f t="shared" si="26"/>
        <v>0</v>
      </c>
      <c r="AE96" s="40">
        <f t="shared" si="26"/>
        <v>0</v>
      </c>
      <c r="AG96" s="18" t="s">
        <v>326</v>
      </c>
      <c r="AI96" s="40">
        <f t="shared" si="32"/>
        <v>0</v>
      </c>
      <c r="AJ96" s="40">
        <f t="shared" si="32"/>
        <v>0</v>
      </c>
      <c r="AK96" s="40">
        <f t="shared" si="32"/>
        <v>0</v>
      </c>
      <c r="AL96" s="40">
        <f t="shared" si="32"/>
        <v>0</v>
      </c>
      <c r="AM96" s="40">
        <f t="shared" si="27"/>
        <v>0</v>
      </c>
      <c r="AN96" s="40">
        <f t="shared" si="27"/>
        <v>0</v>
      </c>
      <c r="AP96" s="18"/>
      <c r="AR96" s="40">
        <f t="shared" si="33"/>
        <v>0</v>
      </c>
      <c r="AS96" s="40">
        <f t="shared" si="33"/>
        <v>0</v>
      </c>
      <c r="AT96" s="40">
        <f t="shared" si="33"/>
        <v>0</v>
      </c>
      <c r="AU96" s="40">
        <f t="shared" si="33"/>
        <v>0</v>
      </c>
      <c r="AV96" s="40">
        <f t="shared" si="28"/>
        <v>0</v>
      </c>
      <c r="AW96" s="40">
        <f t="shared" si="28"/>
        <v>0</v>
      </c>
      <c r="AY96" s="18"/>
    </row>
    <row r="97" spans="2:51">
      <c r="B97" s="44" t="s">
        <v>293</v>
      </c>
      <c r="C97" s="57"/>
      <c r="D97" s="44">
        <v>11</v>
      </c>
      <c r="E97" s="56"/>
      <c r="F97" s="44" t="s">
        <v>108</v>
      </c>
      <c r="G97" s="44" t="s">
        <v>71</v>
      </c>
      <c r="H97" s="53">
        <f t="shared" si="29"/>
        <v>0</v>
      </c>
      <c r="I97" s="44" t="s">
        <v>108</v>
      </c>
      <c r="J97" s="54" t="s">
        <v>71</v>
      </c>
      <c r="K97" s="53">
        <f t="shared" si="30"/>
        <v>0</v>
      </c>
      <c r="L97" s="44" t="s">
        <v>300</v>
      </c>
      <c r="M97" s="44" t="s">
        <v>301</v>
      </c>
      <c r="N97" s="17" t="s">
        <v>320</v>
      </c>
      <c r="O97" t="s">
        <v>302</v>
      </c>
      <c r="Q97" s="40">
        <f t="shared" si="35"/>
        <v>0</v>
      </c>
      <c r="R97" s="40">
        <f t="shared" si="35"/>
        <v>0</v>
      </c>
      <c r="S97" s="40">
        <f t="shared" si="35"/>
        <v>0</v>
      </c>
      <c r="T97" s="40">
        <f t="shared" si="35"/>
        <v>0</v>
      </c>
      <c r="U97" s="40">
        <f t="shared" si="35"/>
        <v>0</v>
      </c>
      <c r="V97" s="40">
        <f t="shared" si="35"/>
        <v>0</v>
      </c>
      <c r="X97" s="18" t="s">
        <v>326</v>
      </c>
      <c r="Z97" s="40">
        <f t="shared" si="31"/>
        <v>0</v>
      </c>
      <c r="AA97" s="40">
        <f t="shared" si="31"/>
        <v>0</v>
      </c>
      <c r="AB97" s="40">
        <f t="shared" si="31"/>
        <v>0</v>
      </c>
      <c r="AC97" s="40">
        <f t="shared" si="31"/>
        <v>0</v>
      </c>
      <c r="AD97" s="40">
        <f t="shared" si="26"/>
        <v>0</v>
      </c>
      <c r="AE97" s="40">
        <f t="shared" si="26"/>
        <v>0</v>
      </c>
      <c r="AG97" s="18" t="s">
        <v>326</v>
      </c>
      <c r="AI97" s="40">
        <f t="shared" si="32"/>
        <v>0</v>
      </c>
      <c r="AJ97" s="40">
        <f t="shared" si="32"/>
        <v>0</v>
      </c>
      <c r="AK97" s="40">
        <f t="shared" si="32"/>
        <v>0</v>
      </c>
      <c r="AL97" s="40">
        <f t="shared" si="32"/>
        <v>0</v>
      </c>
      <c r="AM97" s="40">
        <f t="shared" si="27"/>
        <v>0</v>
      </c>
      <c r="AN97" s="40">
        <f t="shared" si="27"/>
        <v>0</v>
      </c>
      <c r="AP97" s="18"/>
      <c r="AR97" s="40">
        <f t="shared" si="33"/>
        <v>0</v>
      </c>
      <c r="AS97" s="40">
        <f t="shared" si="33"/>
        <v>0</v>
      </c>
      <c r="AT97" s="40">
        <f t="shared" si="33"/>
        <v>0</v>
      </c>
      <c r="AU97" s="40">
        <f t="shared" si="33"/>
        <v>0</v>
      </c>
      <c r="AV97" s="40">
        <f t="shared" si="28"/>
        <v>0</v>
      </c>
      <c r="AW97" s="40">
        <f t="shared" si="28"/>
        <v>0</v>
      </c>
      <c r="AY97" s="18"/>
    </row>
    <row r="98" spans="2:51">
      <c r="B98" s="44" t="s">
        <v>303</v>
      </c>
      <c r="C98" s="57"/>
      <c r="D98" s="44">
        <v>77</v>
      </c>
      <c r="E98" s="44"/>
      <c r="F98" s="44" t="s">
        <v>46</v>
      </c>
      <c r="G98" s="44" t="s">
        <v>37</v>
      </c>
      <c r="H98" s="53">
        <f t="shared" si="29"/>
        <v>4</v>
      </c>
      <c r="I98" s="44" t="s">
        <v>46</v>
      </c>
      <c r="J98" s="54" t="s">
        <v>37</v>
      </c>
      <c r="K98" s="53">
        <f t="shared" si="30"/>
        <v>4</v>
      </c>
      <c r="L98" s="44" t="s">
        <v>304</v>
      </c>
      <c r="M98" s="44" t="s">
        <v>305</v>
      </c>
      <c r="N98" s="17" t="s">
        <v>320</v>
      </c>
      <c r="O98" t="s">
        <v>306</v>
      </c>
      <c r="Q98" s="40">
        <f t="shared" si="35"/>
        <v>0</v>
      </c>
      <c r="R98" s="40">
        <f t="shared" si="35"/>
        <v>4</v>
      </c>
      <c r="S98" s="40">
        <f t="shared" si="35"/>
        <v>0</v>
      </c>
      <c r="T98" s="40">
        <f t="shared" si="35"/>
        <v>0</v>
      </c>
      <c r="U98" s="40">
        <f t="shared" si="35"/>
        <v>0</v>
      </c>
      <c r="V98" s="40">
        <f t="shared" si="35"/>
        <v>0</v>
      </c>
      <c r="X98" s="18" t="s">
        <v>326</v>
      </c>
      <c r="Z98" s="40">
        <f t="shared" si="31"/>
        <v>0</v>
      </c>
      <c r="AA98" s="40">
        <f t="shared" si="31"/>
        <v>0</v>
      </c>
      <c r="AB98" s="40">
        <f t="shared" si="31"/>
        <v>0</v>
      </c>
      <c r="AC98" s="40">
        <f t="shared" si="31"/>
        <v>0</v>
      </c>
      <c r="AD98" s="40">
        <f t="shared" si="26"/>
        <v>0</v>
      </c>
      <c r="AE98" s="40">
        <f t="shared" si="26"/>
        <v>0</v>
      </c>
      <c r="AG98" s="18"/>
      <c r="AI98" s="40">
        <f t="shared" si="32"/>
        <v>0</v>
      </c>
      <c r="AJ98" s="40">
        <f t="shared" si="32"/>
        <v>4</v>
      </c>
      <c r="AK98" s="40">
        <f t="shared" si="32"/>
        <v>0</v>
      </c>
      <c r="AL98" s="40">
        <f t="shared" si="32"/>
        <v>0</v>
      </c>
      <c r="AM98" s="40">
        <f t="shared" si="27"/>
        <v>0</v>
      </c>
      <c r="AN98" s="40">
        <f t="shared" si="27"/>
        <v>0</v>
      </c>
      <c r="AP98" s="18" t="s">
        <v>326</v>
      </c>
      <c r="AR98" s="40">
        <f t="shared" si="33"/>
        <v>0</v>
      </c>
      <c r="AS98" s="40">
        <f t="shared" si="33"/>
        <v>0</v>
      </c>
      <c r="AT98" s="40">
        <f t="shared" si="33"/>
        <v>0</v>
      </c>
      <c r="AU98" s="40">
        <f t="shared" si="33"/>
        <v>0</v>
      </c>
      <c r="AV98" s="40">
        <f t="shared" si="28"/>
        <v>0</v>
      </c>
      <c r="AW98" s="40">
        <f t="shared" si="28"/>
        <v>0</v>
      </c>
      <c r="AY98" s="18"/>
    </row>
    <row r="99" spans="2:51">
      <c r="B99" s="44" t="s">
        <v>303</v>
      </c>
      <c r="C99" s="57"/>
      <c r="D99" s="44">
        <v>75</v>
      </c>
      <c r="E99" s="44"/>
      <c r="F99" s="44" t="s">
        <v>41</v>
      </c>
      <c r="G99" s="44" t="s">
        <v>37</v>
      </c>
      <c r="H99" s="53">
        <f t="shared" si="29"/>
        <v>4</v>
      </c>
      <c r="I99" s="44" t="s">
        <v>41</v>
      </c>
      <c r="J99" s="54" t="s">
        <v>37</v>
      </c>
      <c r="K99" s="53">
        <f t="shared" si="30"/>
        <v>4</v>
      </c>
      <c r="L99" s="44" t="s">
        <v>307</v>
      </c>
      <c r="M99" s="44" t="s">
        <v>308</v>
      </c>
      <c r="N99" s="17" t="s">
        <v>320</v>
      </c>
      <c r="O99" t="s">
        <v>309</v>
      </c>
      <c r="Q99" s="40">
        <f t="shared" si="35"/>
        <v>4</v>
      </c>
      <c r="R99" s="40">
        <f t="shared" si="35"/>
        <v>0</v>
      </c>
      <c r="S99" s="40">
        <f t="shared" si="35"/>
        <v>0</v>
      </c>
      <c r="T99" s="40">
        <f t="shared" si="35"/>
        <v>0</v>
      </c>
      <c r="U99" s="40">
        <f t="shared" si="35"/>
        <v>0</v>
      </c>
      <c r="V99" s="40">
        <f t="shared" si="35"/>
        <v>0</v>
      </c>
      <c r="X99" s="18" t="s">
        <v>326</v>
      </c>
      <c r="Z99" s="40">
        <f t="shared" si="31"/>
        <v>0</v>
      </c>
      <c r="AA99" s="40">
        <f t="shared" si="31"/>
        <v>0</v>
      </c>
      <c r="AB99" s="40">
        <f t="shared" si="31"/>
        <v>0</v>
      </c>
      <c r="AC99" s="40">
        <f t="shared" si="31"/>
        <v>0</v>
      </c>
      <c r="AD99" s="40">
        <f t="shared" si="26"/>
        <v>0</v>
      </c>
      <c r="AE99" s="40">
        <f t="shared" si="26"/>
        <v>0</v>
      </c>
      <c r="AG99" s="18"/>
      <c r="AI99" s="40">
        <f t="shared" si="32"/>
        <v>4</v>
      </c>
      <c r="AJ99" s="40">
        <f t="shared" si="32"/>
        <v>0</v>
      </c>
      <c r="AK99" s="40">
        <f t="shared" si="32"/>
        <v>0</v>
      </c>
      <c r="AL99" s="40">
        <f t="shared" si="32"/>
        <v>0</v>
      </c>
      <c r="AM99" s="40">
        <f t="shared" si="27"/>
        <v>0</v>
      </c>
      <c r="AN99" s="40">
        <f t="shared" si="27"/>
        <v>0</v>
      </c>
      <c r="AP99" s="18" t="s">
        <v>326</v>
      </c>
      <c r="AR99" s="40">
        <f t="shared" si="33"/>
        <v>0</v>
      </c>
      <c r="AS99" s="40">
        <f t="shared" si="33"/>
        <v>0</v>
      </c>
      <c r="AT99" s="40">
        <f t="shared" si="33"/>
        <v>0</v>
      </c>
      <c r="AU99" s="40">
        <f t="shared" si="33"/>
        <v>0</v>
      </c>
      <c r="AV99" s="40">
        <f t="shared" si="28"/>
        <v>0</v>
      </c>
      <c r="AW99" s="40">
        <f t="shared" si="28"/>
        <v>0</v>
      </c>
      <c r="AY99" s="18"/>
    </row>
    <row r="100" spans="2:51">
      <c r="B100" s="44" t="s">
        <v>303</v>
      </c>
      <c r="C100" s="57"/>
      <c r="D100" s="44">
        <v>73</v>
      </c>
      <c r="E100" s="44"/>
      <c r="F100" s="44" t="s">
        <v>53</v>
      </c>
      <c r="G100" s="44" t="s">
        <v>37</v>
      </c>
      <c r="H100" s="53">
        <f t="shared" si="29"/>
        <v>4</v>
      </c>
      <c r="I100" s="44" t="s">
        <v>53</v>
      </c>
      <c r="J100" s="54" t="s">
        <v>37</v>
      </c>
      <c r="K100" s="53">
        <f t="shared" si="30"/>
        <v>4</v>
      </c>
      <c r="L100" s="44" t="s">
        <v>310</v>
      </c>
      <c r="M100" s="44" t="s">
        <v>311</v>
      </c>
      <c r="N100" s="17" t="s">
        <v>320</v>
      </c>
      <c r="O100" t="s">
        <v>312</v>
      </c>
      <c r="Q100" s="40">
        <f t="shared" si="35"/>
        <v>0</v>
      </c>
      <c r="R100" s="40">
        <f t="shared" si="35"/>
        <v>0</v>
      </c>
      <c r="S100" s="40">
        <f t="shared" si="35"/>
        <v>0</v>
      </c>
      <c r="T100" s="40">
        <f t="shared" si="35"/>
        <v>0</v>
      </c>
      <c r="U100" s="40">
        <f t="shared" si="35"/>
        <v>4</v>
      </c>
      <c r="V100" s="40">
        <f t="shared" si="35"/>
        <v>0</v>
      </c>
      <c r="X100" s="18" t="s">
        <v>326</v>
      </c>
      <c r="Z100" s="40">
        <f t="shared" si="31"/>
        <v>0</v>
      </c>
      <c r="AA100" s="40">
        <f t="shared" si="31"/>
        <v>0</v>
      </c>
      <c r="AB100" s="40">
        <f t="shared" si="31"/>
        <v>0</v>
      </c>
      <c r="AC100" s="40">
        <f t="shared" si="31"/>
        <v>0</v>
      </c>
      <c r="AD100" s="40">
        <f t="shared" si="26"/>
        <v>0</v>
      </c>
      <c r="AE100" s="40">
        <f t="shared" si="26"/>
        <v>0</v>
      </c>
      <c r="AG100" s="18"/>
      <c r="AI100" s="40">
        <f t="shared" si="32"/>
        <v>0</v>
      </c>
      <c r="AJ100" s="40">
        <f t="shared" si="32"/>
        <v>0</v>
      </c>
      <c r="AK100" s="40">
        <f t="shared" si="32"/>
        <v>0</v>
      </c>
      <c r="AL100" s="40">
        <f t="shared" si="32"/>
        <v>0</v>
      </c>
      <c r="AM100" s="40">
        <f t="shared" si="27"/>
        <v>4</v>
      </c>
      <c r="AN100" s="40">
        <f t="shared" si="27"/>
        <v>0</v>
      </c>
      <c r="AP100" s="18" t="s">
        <v>326</v>
      </c>
      <c r="AR100" s="40">
        <f t="shared" si="33"/>
        <v>0</v>
      </c>
      <c r="AS100" s="40">
        <f t="shared" si="33"/>
        <v>0</v>
      </c>
      <c r="AT100" s="40">
        <f t="shared" si="33"/>
        <v>0</v>
      </c>
      <c r="AU100" s="40">
        <f t="shared" si="33"/>
        <v>0</v>
      </c>
      <c r="AV100" s="40">
        <f t="shared" si="28"/>
        <v>0</v>
      </c>
      <c r="AW100" s="40">
        <f t="shared" si="28"/>
        <v>0</v>
      </c>
      <c r="AY100" s="18"/>
    </row>
    <row r="101" spans="2:51">
      <c r="B101" s="44" t="s">
        <v>303</v>
      </c>
      <c r="C101" s="57"/>
      <c r="D101" s="44">
        <v>76</v>
      </c>
      <c r="E101" s="44"/>
      <c r="F101" s="44" t="s">
        <v>329</v>
      </c>
      <c r="G101" s="44" t="s">
        <v>37</v>
      </c>
      <c r="H101" s="53">
        <f t="shared" si="29"/>
        <v>4</v>
      </c>
      <c r="I101" s="44" t="s">
        <v>329</v>
      </c>
      <c r="J101" s="54" t="s">
        <v>37</v>
      </c>
      <c r="K101" s="53">
        <f t="shared" si="30"/>
        <v>4</v>
      </c>
      <c r="L101" s="44" t="s">
        <v>313</v>
      </c>
      <c r="M101" s="44" t="s">
        <v>314</v>
      </c>
      <c r="N101" s="17" t="s">
        <v>320</v>
      </c>
      <c r="O101" t="s">
        <v>315</v>
      </c>
      <c r="Q101" s="40">
        <f t="shared" si="35"/>
        <v>0</v>
      </c>
      <c r="R101" s="40">
        <f t="shared" si="35"/>
        <v>0</v>
      </c>
      <c r="S101" s="40">
        <f t="shared" si="35"/>
        <v>4</v>
      </c>
      <c r="T101" s="40">
        <f t="shared" si="35"/>
        <v>0</v>
      </c>
      <c r="U101" s="40">
        <f t="shared" si="35"/>
        <v>0</v>
      </c>
      <c r="V101" s="40">
        <f t="shared" si="35"/>
        <v>0</v>
      </c>
      <c r="X101" s="18" t="s">
        <v>326</v>
      </c>
      <c r="Z101" s="40">
        <f t="shared" si="31"/>
        <v>0</v>
      </c>
      <c r="AA101" s="40">
        <f t="shared" si="31"/>
        <v>0</v>
      </c>
      <c r="AB101" s="40">
        <f t="shared" si="31"/>
        <v>0</v>
      </c>
      <c r="AC101" s="40">
        <f t="shared" si="31"/>
        <v>0</v>
      </c>
      <c r="AD101" s="40">
        <f t="shared" si="26"/>
        <v>0</v>
      </c>
      <c r="AE101" s="40">
        <f t="shared" si="26"/>
        <v>0</v>
      </c>
      <c r="AG101" s="18"/>
      <c r="AI101" s="40">
        <f t="shared" si="32"/>
        <v>0</v>
      </c>
      <c r="AJ101" s="40">
        <f t="shared" si="32"/>
        <v>0</v>
      </c>
      <c r="AK101" s="40">
        <f t="shared" si="32"/>
        <v>0</v>
      </c>
      <c r="AL101" s="40">
        <f t="shared" si="32"/>
        <v>0</v>
      </c>
      <c r="AM101" s="40">
        <f t="shared" si="27"/>
        <v>0</v>
      </c>
      <c r="AN101" s="40">
        <f t="shared" si="27"/>
        <v>0</v>
      </c>
      <c r="AP101" s="18"/>
      <c r="AR101" s="40">
        <f t="shared" si="33"/>
        <v>0</v>
      </c>
      <c r="AS101" s="40">
        <f t="shared" si="33"/>
        <v>0</v>
      </c>
      <c r="AT101" s="40">
        <f t="shared" si="33"/>
        <v>0</v>
      </c>
      <c r="AU101" s="40">
        <f t="shared" si="33"/>
        <v>0</v>
      </c>
      <c r="AV101" s="40">
        <f t="shared" si="28"/>
        <v>0</v>
      </c>
      <c r="AW101" s="40">
        <f t="shared" si="28"/>
        <v>0</v>
      </c>
      <c r="AY101" s="18"/>
    </row>
    <row r="102" spans="2:51">
      <c r="B102" s="44" t="s">
        <v>303</v>
      </c>
      <c r="C102" s="57"/>
      <c r="D102" s="44">
        <v>74</v>
      </c>
      <c r="E102" s="44"/>
      <c r="F102" s="44" t="s">
        <v>330</v>
      </c>
      <c r="G102" s="44" t="s">
        <v>37</v>
      </c>
      <c r="H102" s="53">
        <f t="shared" si="29"/>
        <v>4</v>
      </c>
      <c r="I102" s="44" t="s">
        <v>330</v>
      </c>
      <c r="J102" s="54" t="s">
        <v>37</v>
      </c>
      <c r="K102" s="53">
        <f t="shared" si="30"/>
        <v>4</v>
      </c>
      <c r="L102" s="44" t="s">
        <v>316</v>
      </c>
      <c r="M102" s="44" t="s">
        <v>317</v>
      </c>
      <c r="N102" s="17" t="s">
        <v>320</v>
      </c>
      <c r="O102" t="s">
        <v>343</v>
      </c>
      <c r="Q102" s="40">
        <f t="shared" si="35"/>
        <v>0</v>
      </c>
      <c r="R102" s="40">
        <f t="shared" si="35"/>
        <v>0</v>
      </c>
      <c r="S102" s="40">
        <f t="shared" si="35"/>
        <v>0</v>
      </c>
      <c r="T102" s="40">
        <f t="shared" si="35"/>
        <v>4</v>
      </c>
      <c r="U102" s="40">
        <f t="shared" si="35"/>
        <v>0</v>
      </c>
      <c r="V102" s="40">
        <f t="shared" si="35"/>
        <v>0</v>
      </c>
      <c r="X102" s="18" t="s">
        <v>326</v>
      </c>
      <c r="Z102" s="40">
        <f t="shared" si="31"/>
        <v>0</v>
      </c>
      <c r="AA102" s="40">
        <f t="shared" si="31"/>
        <v>0</v>
      </c>
      <c r="AB102" s="40">
        <f t="shared" si="31"/>
        <v>0</v>
      </c>
      <c r="AC102" s="40">
        <f t="shared" si="31"/>
        <v>0</v>
      </c>
      <c r="AD102" s="40">
        <f t="shared" si="26"/>
        <v>0</v>
      </c>
      <c r="AE102" s="40">
        <f t="shared" si="26"/>
        <v>0</v>
      </c>
      <c r="AG102" s="18"/>
      <c r="AI102" s="40">
        <f t="shared" si="32"/>
        <v>0</v>
      </c>
      <c r="AJ102" s="40">
        <f t="shared" si="32"/>
        <v>0</v>
      </c>
      <c r="AK102" s="40">
        <f t="shared" si="32"/>
        <v>0</v>
      </c>
      <c r="AL102" s="40">
        <f t="shared" si="32"/>
        <v>0</v>
      </c>
      <c r="AM102" s="40">
        <f t="shared" si="27"/>
        <v>0</v>
      </c>
      <c r="AN102" s="40">
        <f t="shared" si="27"/>
        <v>0</v>
      </c>
      <c r="AP102" s="18"/>
      <c r="AR102" s="40">
        <f t="shared" si="33"/>
        <v>0</v>
      </c>
      <c r="AS102" s="40">
        <f t="shared" si="33"/>
        <v>0</v>
      </c>
      <c r="AT102" s="40">
        <f t="shared" si="33"/>
        <v>0</v>
      </c>
      <c r="AU102" s="40">
        <f t="shared" si="33"/>
        <v>0</v>
      </c>
      <c r="AV102" s="40">
        <f t="shared" si="28"/>
        <v>0</v>
      </c>
      <c r="AW102" s="40">
        <f t="shared" si="28"/>
        <v>0</v>
      </c>
      <c r="AY102" s="18"/>
    </row>
  </sheetData>
  <autoFilter ref="B12:BA102"/>
  <mergeCells count="31">
    <mergeCell ref="AW1:AW3"/>
    <mergeCell ref="AR1:AR3"/>
    <mergeCell ref="AS1:AS3"/>
    <mergeCell ref="AT1:AT3"/>
    <mergeCell ref="AU1:AU3"/>
    <mergeCell ref="AV1:AV3"/>
    <mergeCell ref="AJ1:AJ3"/>
    <mergeCell ref="AK1:AK3"/>
    <mergeCell ref="AL1:AL3"/>
    <mergeCell ref="AM1:AM3"/>
    <mergeCell ref="AN1:AN3"/>
    <mergeCell ref="AB1:AB3"/>
    <mergeCell ref="AC1:AC3"/>
    <mergeCell ref="AD1:AD3"/>
    <mergeCell ref="AE1:AE3"/>
    <mergeCell ref="AI1:AI3"/>
    <mergeCell ref="M8:N8"/>
    <mergeCell ref="M9:N9"/>
    <mergeCell ref="M10:N10"/>
    <mergeCell ref="B1:N2"/>
    <mergeCell ref="M5:N5"/>
    <mergeCell ref="M6:N6"/>
    <mergeCell ref="M7:N7"/>
    <mergeCell ref="V1:V3"/>
    <mergeCell ref="Z1:Z3"/>
    <mergeCell ref="AA1:AA3"/>
    <mergeCell ref="Q1:Q3"/>
    <mergeCell ref="R1:R3"/>
    <mergeCell ref="S1:S3"/>
    <mergeCell ref="T1:T3"/>
    <mergeCell ref="U1:U3"/>
  </mergeCells>
  <conditionalFormatting sqref="X13:X102 AG13:AG102 AP13:AP102 AY13:AY102">
    <cfRule type="expression" dxfId="72" priority="6" stopIfTrue="1">
      <formula>IF(OR(X$2="-",AND(X$2="République",$F13=""),AND(X$2="Empire",$I13="")),TRUE,FALSE)</formula>
    </cfRule>
    <cfRule type="expression" dxfId="71" priority="7" stopIfTrue="1">
      <formula>IF(AND(X$2="République",$F13&lt;&gt;"",X13=""),TRUE,FALSE)</formula>
    </cfRule>
    <cfRule type="expression" dxfId="70" priority="8" stopIfTrue="1">
      <formula>IF(AND(X$2="Empire",$I13&lt;&gt;"",X13=""),TRUE,FALSE)</formula>
    </cfRule>
    <cfRule type="expression" dxfId="69" priority="9" stopIfTrue="1">
      <formula>IF(OR(X$2="-",AND(X$2="Empire",$I13&lt;&gt;"",X13&lt;&gt;"")),TRUE,FALSE)</formula>
    </cfRule>
    <cfRule type="expression" dxfId="68" priority="11" stopIfTrue="1">
      <formula>IF(OR(X$2="-",AND(X$2="République",$F13&lt;&gt;"",X13&lt;&gt;"")),TRUE,FALSE)</formula>
    </cfRule>
  </conditionalFormatting>
  <dataValidations count="1">
    <dataValidation type="list" allowBlank="1" showInputMessage="1" showErrorMessage="1" sqref="X2 AG2 AP2 AY2">
      <formula1>"-,Empire,République"</formula1>
    </dataValidation>
  </dataValidations>
  <hyperlinks>
    <hyperlink ref="N13" r:id="rId1" location="Alderaan_datacron_Aim4"/>
    <hyperlink ref="N14" r:id="rId2" location="Alderaan_datacron_Presence3"/>
    <hyperlink ref="N15" r:id="rId3" location="Alderaan_datacron_Willpower3"/>
    <hyperlink ref="N16" r:id="rId4" location="Alderaan_datacron_Strength4"/>
    <hyperlink ref="N17" r:id="rId5" location="Alderaan_datacron_Endurance3"/>
    <hyperlink ref="N18" r:id="rId6" location="Balmorra%20%28Empire%29_datacron_Strength2"/>
    <hyperlink ref="N19" r:id="rId7" location="Balmorra%20%28Empire%29_datacron_Aim2"/>
    <hyperlink ref="N20" r:id="rId8" location="Balmorra%20%28Empire%29_datacron_Willpower2"/>
    <hyperlink ref="N21" r:id="rId9" location="Balmorra%20%28Empire%29_datacron_Cunning2"/>
    <hyperlink ref="N22" r:id="rId10" location="Balmorra%20%28Empire%29_datacron_GreenMatrixShard"/>
    <hyperlink ref="N23" r:id="rId11" location="Balmorra%20%28Republic%29_datacron_Aim4"/>
    <hyperlink ref="N24" r:id="rId12" location="Balmorra%20%28Republic%29_datacron_Cunning4"/>
    <hyperlink ref="N25" r:id="rId13" location="Balmorra%20%28Republic%29_datacron_Presence4"/>
    <hyperlink ref="N26" r:id="rId14" location="Balmorra%20%28Republic%29_datacron_Endurance3"/>
    <hyperlink ref="N27" r:id="rId15" location="Balmorra%20%28Republic%29_datacron_Willpower4"/>
    <hyperlink ref="N28" r:id="rId16" location="Belsavis_datacron_Willpower4"/>
    <hyperlink ref="N29" r:id="rId17" location="Belsavis_datacron_Endurance4"/>
    <hyperlink ref="N30" r:id="rId18" location="Belsavis_datacron_Presence4"/>
    <hyperlink ref="N31" r:id="rId19" location="Belsavis_datacron_Aim4"/>
    <hyperlink ref="N32" r:id="rId20" location="Belsavis_datacron_GreenMatrixShard"/>
    <hyperlink ref="N33" r:id="rId21" location="Corellia_datacron_Strength4"/>
    <hyperlink ref="N34" r:id="rId22" location="Corellia_datacron_REPUBLICWillpower4"/>
    <hyperlink ref="N35" r:id="rId23" location="Corellia_datacron_BlueMatrixShard"/>
    <hyperlink ref="N36" r:id="rId24" location="Corellia_datacron_Presence4"/>
    <hyperlink ref="N37" r:id="rId25" location="Corellia_datacron_Aim4"/>
    <hyperlink ref="N38" r:id="rId26" location="Corellia_datacron_Cunning4"/>
    <hyperlink ref="N39" r:id="rId27" location="Corellia_datacron_GreenMatrixShard"/>
    <hyperlink ref="N40" r:id="rId28" location="Corellia_datacron_EMPIREWillpower4"/>
    <hyperlink ref="N41" r:id="rId29" location="Coruscant_datacron_Presence2"/>
    <hyperlink ref="N42" r:id="rId30" location="Coruscant_datacron_YellowMatrixShard"/>
    <hyperlink ref="N43" r:id="rId31" location="Coruscant_datacron_Strength2"/>
    <hyperlink ref="N44" r:id="rId32" location="Coruscant_datacron_Endurance2"/>
    <hyperlink ref="N45" r:id="rId33" location="Coruscant_datacron_Cunning2"/>
    <hyperlink ref="N46" r:id="rId34" location="Dromund%20Kaas_datacron_Strength2"/>
    <hyperlink ref="N47" r:id="rId35" location="Dromund%20Kaas_datacron_Presence2"/>
    <hyperlink ref="N48" r:id="rId36" location="Dromund%20Kaas_datacron_Cunning2"/>
    <hyperlink ref="N49" r:id="rId37" location="Dromund%20Kaas_datacron_YellowMatrixShard"/>
    <hyperlink ref="N50" r:id="rId38" location="Dromund%20Kaas_datacron_Endurance2"/>
    <hyperlink ref="N51" r:id="rId39" location="Hoth_datacron_Presence4"/>
    <hyperlink ref="N52" r:id="rId40" location="Hoth_datacron_RedMatrixShard"/>
    <hyperlink ref="N53" r:id="rId41" location="Hoth_datacron_Endurance4"/>
    <hyperlink ref="N54" r:id="rId42" location="Hoth_datacron_Cunning4"/>
    <hyperlink ref="N55" r:id="rId43" location="Hoth_datacron_Strength4"/>
    <hyperlink ref="N56" r:id="rId44" location="Hutta_datacron_Aim2"/>
    <hyperlink ref="N57" r:id="rId45" location="Hutta_datacron_BlueMatrixShard"/>
    <hyperlink ref="N58" r:id="rId46" location="Hutta_datacron_Presence2"/>
    <hyperlink ref="N59" r:id="rId47" location="Ilum_datacron_Aim4"/>
    <hyperlink ref="N60" r:id="rId48" location="Ilum_datacron_Endurance4"/>
    <hyperlink ref="N61" r:id="rId49" location="Ilum_datacron_RedMatrixShard"/>
    <hyperlink ref="N62" r:id="rId50" location="Ilum_datacron_Willpower4"/>
    <hyperlink ref="N63" r:id="rId51" location="Ilum_datacron_YellowMatrixShard"/>
    <hyperlink ref="N64" r:id="rId52" location="Korriban_datacron_Willpower2"/>
    <hyperlink ref="N65" r:id="rId53" location="Korriban_datacron_Endurance2"/>
    <hyperlink ref="N66" r:id="rId54" location="Korriban_datacron_RedMatrixShard"/>
    <hyperlink ref="N67" r:id="rId55" location="Nar%20Shaddaa_datacron_RepublicAim3"/>
    <hyperlink ref="N68" r:id="rId56" location="Nar%20Shaddaa_datacron_RepublicPresence3"/>
    <hyperlink ref="N69" r:id="rId57" location="Nar%20Shaddaa_datacron_Cunning3"/>
    <hyperlink ref="N70" r:id="rId58" location="Nar%20Shaddaa_datacron_RepublicStrength3"/>
    <hyperlink ref="N71" r:id="rId59" location="Nar%20Shaddaa_datacron_YellowMatrixShard"/>
    <hyperlink ref="N72" r:id="rId60" location="Nar%20Shaddaa_datacron_EmpireAim3"/>
    <hyperlink ref="N73" r:id="rId61" location="Nar%20Shaddaa_datacron_EmpirePresence3"/>
    <hyperlink ref="N74" r:id="rId62" location="Nar%20Shaddaa_datacron_EmpireStrength3"/>
    <hyperlink ref="N75" r:id="rId63" location="Ord%20Mantell_datacron_RedMatrixShard"/>
    <hyperlink ref="N76" r:id="rId64" location="Ord%20Mantell_datacron_Presence2"/>
    <hyperlink ref="N77" r:id="rId65" location="Ord%20Mantell_datacron_Aim2"/>
    <hyperlink ref="N78" r:id="rId66" location="Quesh_datacron_Cunning4"/>
    <hyperlink ref="N79" r:id="rId67" location="Quesh_datacron_Endurance4"/>
    <hyperlink ref="N80" r:id="rId68" location="Quesh_datacron_Strength4"/>
    <hyperlink ref="N81" r:id="rId69" location="Republic%20Fleet_datacron_Stats10"/>
    <hyperlink ref="N82" r:id="rId70" location="Taris_datacron_REPUBLICStrength2orEMPIREPresence4"/>
    <hyperlink ref="N83" r:id="rId71" location="Taris_datacron_REPUBLICAim2orEMPIREEndurance3"/>
    <hyperlink ref="N84" r:id="rId72" location="Taris_datacron_REPUBLICCunning2orEMPIREAim4"/>
    <hyperlink ref="N85" r:id="rId73" location="Taris_datacron_REPUBLICWillpower2"/>
    <hyperlink ref="N86" r:id="rId74" location="Taris_datacron_REPUBLICGreenMatrixShard"/>
    <hyperlink ref="N87" r:id="rId75" location="Taris_datacron_EMPIREWillpower4"/>
    <hyperlink ref="N88" r:id="rId76" location="Taris_datacron_EMPIRECunning4"/>
    <hyperlink ref="N89" r:id="rId77" location="Tatooine_datacron_RepublicCunning3"/>
    <hyperlink ref="N90" r:id="rId78" location="Tatooine_datacron_Willpower3"/>
    <hyperlink ref="N91" r:id="rId79" location="Tatooine_datacron_Aim3"/>
    <hyperlink ref="N92" r:id="rId80" location="Tatooine_datacron_BlueMatrixShard"/>
    <hyperlink ref="N93" r:id="rId81" location="Tatooine_datacron_Strength3"/>
    <hyperlink ref="N94" r:id="rId82" location="Tatooine_datacron_EmpireCunning3"/>
    <hyperlink ref="N95" r:id="rId83" location="Tython_datacron_Endurance2"/>
    <hyperlink ref="N96" r:id="rId84" location="Tython_datacron_Willpower2"/>
    <hyperlink ref="N97" r:id="rId85" location="Tython_datacron_BlueMatrixShard"/>
    <hyperlink ref="N98" r:id="rId86" location="Voss_datacron_Willpower4"/>
    <hyperlink ref="N99" r:id="rId87" location="Voss_datacron_Presence4"/>
    <hyperlink ref="N100" r:id="rId88" location="Voss_datacron_Endurance4"/>
    <hyperlink ref="N101" r:id="rId89" location="Voss_datacron_Strength4"/>
    <hyperlink ref="N102" r:id="rId90" location="Voss_datacron_Cunning4"/>
  </hyperlinks>
  <pageMargins left="0.7" right="0.7" top="0.75" bottom="0.75" header="0.3" footer="0.3"/>
  <pageSetup paperSize="9" orientation="portrait" horizontalDpi="0" verticalDpi="0" r:id="rId91"/>
  <ignoredErrors>
    <ignoredError sqref="L83 J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AC26"/>
  <sheetViews>
    <sheetView workbookViewId="0">
      <pane xSplit="2" topLeftCell="C1" activePane="topRight" state="frozenSplit"/>
      <selection pane="topRight" activeCell="A8" sqref="A8:XFD8"/>
    </sheetView>
  </sheetViews>
  <sheetFormatPr baseColWidth="10" defaultRowHeight="15"/>
  <cols>
    <col min="1" max="1" width="2.5703125" customWidth="1"/>
    <col min="2" max="2" width="26" bestFit="1" customWidth="1"/>
    <col min="3" max="3" width="1.140625" customWidth="1"/>
    <col min="4" max="8" width="4.28515625" customWidth="1"/>
    <col min="9" max="9" width="1.5703125" customWidth="1"/>
    <col min="10" max="16" width="4.28515625" customWidth="1"/>
    <col min="17" max="17" width="1.28515625" customWidth="1"/>
    <col min="18" max="22" width="4.28515625" customWidth="1"/>
    <col min="23" max="23" width="1.5703125" customWidth="1"/>
    <col min="24" max="28" width="4.140625" customWidth="1"/>
    <col min="29" max="29" width="3.42578125" customWidth="1"/>
  </cols>
  <sheetData>
    <row r="2" spans="2:29" ht="15.75" thickBot="1">
      <c r="D2" s="66" t="s">
        <v>16</v>
      </c>
      <c r="E2" s="66"/>
      <c r="F2" s="66"/>
      <c r="G2" s="66"/>
      <c r="H2" s="66"/>
      <c r="J2" s="66" t="s">
        <v>17</v>
      </c>
      <c r="K2" s="66"/>
      <c r="L2" s="66"/>
      <c r="M2" s="66"/>
      <c r="N2" s="66"/>
      <c r="O2" s="66"/>
      <c r="P2" s="66"/>
      <c r="R2" s="66" t="s">
        <v>25</v>
      </c>
      <c r="S2" s="66"/>
      <c r="T2" s="66"/>
      <c r="U2" s="66"/>
      <c r="V2" s="66"/>
      <c r="X2" s="66" t="s">
        <v>363</v>
      </c>
      <c r="Y2" s="66"/>
      <c r="Z2" s="66"/>
      <c r="AA2" s="66"/>
      <c r="AB2" s="66"/>
      <c r="AC2" s="66"/>
    </row>
    <row r="3" spans="2:29" s="15" customFormat="1" ht="86.25">
      <c r="B3" s="12"/>
      <c r="C3" s="12"/>
      <c r="D3" s="13" t="s">
        <v>11</v>
      </c>
      <c r="E3" s="14" t="s">
        <v>12</v>
      </c>
      <c r="F3" s="14" t="s">
        <v>13</v>
      </c>
      <c r="G3" s="14" t="s">
        <v>14</v>
      </c>
      <c r="H3" s="14" t="s">
        <v>15</v>
      </c>
      <c r="J3" s="13" t="s">
        <v>18</v>
      </c>
      <c r="K3" s="67" t="s">
        <v>21</v>
      </c>
      <c r="L3" s="67"/>
      <c r="M3" s="68" t="s">
        <v>22</v>
      </c>
      <c r="N3" s="68"/>
      <c r="O3" s="14" t="s">
        <v>23</v>
      </c>
      <c r="P3" s="14" t="s">
        <v>24</v>
      </c>
      <c r="R3" s="13" t="s">
        <v>26</v>
      </c>
      <c r="S3" s="14" t="s">
        <v>27</v>
      </c>
      <c r="T3" s="14" t="s">
        <v>28</v>
      </c>
      <c r="U3" s="14" t="s">
        <v>29</v>
      </c>
      <c r="V3" s="14" t="s">
        <v>30</v>
      </c>
      <c r="X3" s="14" t="s">
        <v>364</v>
      </c>
      <c r="Y3" s="14" t="s">
        <v>371</v>
      </c>
      <c r="Z3" s="14" t="s">
        <v>372</v>
      </c>
      <c r="AA3" s="14" t="s">
        <v>373</v>
      </c>
      <c r="AB3" s="65" t="s">
        <v>375</v>
      </c>
      <c r="AC3" s="65"/>
    </row>
    <row r="4" spans="2:29" s="15" customFormat="1" ht="43.5">
      <c r="B4" s="12"/>
      <c r="C4" s="12"/>
      <c r="D4" s="13"/>
      <c r="E4" s="14"/>
      <c r="F4" s="14"/>
      <c r="G4" s="14"/>
      <c r="H4" s="14"/>
      <c r="J4" s="13"/>
      <c r="K4" s="14" t="s">
        <v>20</v>
      </c>
      <c r="L4" s="14" t="s">
        <v>19</v>
      </c>
      <c r="M4" s="14" t="s">
        <v>20</v>
      </c>
      <c r="N4" s="14" t="s">
        <v>19</v>
      </c>
      <c r="O4" s="14"/>
      <c r="P4" s="14"/>
      <c r="R4" s="13"/>
      <c r="S4" s="14"/>
      <c r="T4" s="14"/>
      <c r="U4" s="14"/>
      <c r="V4" s="14"/>
      <c r="X4" s="60"/>
      <c r="Y4" s="60"/>
      <c r="Z4" s="60"/>
      <c r="AA4" s="60"/>
      <c r="AB4" s="14" t="s">
        <v>20</v>
      </c>
      <c r="AC4" s="14" t="s">
        <v>376</v>
      </c>
    </row>
    <row r="5" spans="2:29" ht="14.25" customHeight="1">
      <c r="B5" s="6" t="s">
        <v>0</v>
      </c>
      <c r="C5" s="8"/>
      <c r="D5" s="5">
        <v>2</v>
      </c>
      <c r="E5" s="2">
        <v>3</v>
      </c>
      <c r="F5" s="2">
        <v>1</v>
      </c>
      <c r="G5" s="3" t="s">
        <v>10</v>
      </c>
      <c r="H5" s="4" t="s">
        <v>10</v>
      </c>
      <c r="J5" s="1" t="s">
        <v>10</v>
      </c>
      <c r="K5" s="5" t="s">
        <v>10</v>
      </c>
      <c r="L5" s="2">
        <v>1</v>
      </c>
      <c r="M5" s="2" t="s">
        <v>10</v>
      </c>
      <c r="N5" s="3">
        <v>3</v>
      </c>
      <c r="O5" s="4">
        <v>1</v>
      </c>
      <c r="P5" s="4" t="s">
        <v>10</v>
      </c>
      <c r="R5" s="9">
        <v>3</v>
      </c>
      <c r="S5" s="10">
        <v>3</v>
      </c>
      <c r="T5" s="10" t="s">
        <v>10</v>
      </c>
      <c r="U5" s="11">
        <v>1</v>
      </c>
      <c r="V5" s="11" t="s">
        <v>10</v>
      </c>
      <c r="X5" s="18">
        <v>3</v>
      </c>
      <c r="Y5" s="18" t="s">
        <v>10</v>
      </c>
      <c r="Z5" s="18" t="s">
        <v>10</v>
      </c>
      <c r="AA5" s="18" t="s">
        <v>10</v>
      </c>
      <c r="AB5" s="18">
        <v>2</v>
      </c>
      <c r="AC5" s="18" t="s">
        <v>10</v>
      </c>
    </row>
    <row r="6" spans="2:29" ht="14.25" customHeight="1">
      <c r="B6" s="7" t="s">
        <v>1</v>
      </c>
      <c r="C6" s="8"/>
      <c r="D6" s="5">
        <v>1</v>
      </c>
      <c r="E6" s="2" t="s">
        <v>10</v>
      </c>
      <c r="F6" s="2">
        <v>2</v>
      </c>
      <c r="G6" s="3" t="s">
        <v>10</v>
      </c>
      <c r="H6" s="4">
        <v>3</v>
      </c>
      <c r="J6" s="1">
        <v>3</v>
      </c>
      <c r="K6" s="5" t="s">
        <v>10</v>
      </c>
      <c r="L6" s="2" t="s">
        <v>10</v>
      </c>
      <c r="M6" s="2">
        <v>1</v>
      </c>
      <c r="N6" s="3">
        <v>2</v>
      </c>
      <c r="O6" s="4">
        <v>3</v>
      </c>
      <c r="P6" s="4" t="s">
        <v>10</v>
      </c>
      <c r="R6" s="9" t="s">
        <v>10</v>
      </c>
      <c r="S6" s="10">
        <v>3</v>
      </c>
      <c r="T6" s="10" t="s">
        <v>10</v>
      </c>
      <c r="U6" s="11">
        <v>1</v>
      </c>
      <c r="V6" s="11" t="s">
        <v>10</v>
      </c>
      <c r="X6" s="18">
        <v>1</v>
      </c>
      <c r="Y6" s="18">
        <v>2</v>
      </c>
      <c r="Z6" s="18">
        <v>1</v>
      </c>
      <c r="AA6" s="18" t="s">
        <v>10</v>
      </c>
      <c r="AB6" s="18">
        <v>1</v>
      </c>
      <c r="AC6" s="18">
        <v>1</v>
      </c>
    </row>
    <row r="7" spans="2:29" ht="14.25" customHeight="1">
      <c r="B7" s="6" t="s">
        <v>2</v>
      </c>
      <c r="C7" s="8"/>
      <c r="D7" s="5" t="s">
        <v>10</v>
      </c>
      <c r="E7" s="2">
        <v>1</v>
      </c>
      <c r="F7" s="2" t="s">
        <v>10</v>
      </c>
      <c r="G7" s="3" t="s">
        <v>10</v>
      </c>
      <c r="H7" s="4">
        <v>1</v>
      </c>
      <c r="J7" s="1">
        <v>1</v>
      </c>
      <c r="K7" s="5" t="s">
        <v>10</v>
      </c>
      <c r="L7" s="2" t="s">
        <v>10</v>
      </c>
      <c r="M7" s="2" t="s">
        <v>10</v>
      </c>
      <c r="N7" s="3">
        <v>1</v>
      </c>
      <c r="O7" s="4">
        <v>2</v>
      </c>
      <c r="P7" s="4" t="s">
        <v>10</v>
      </c>
      <c r="R7" s="9" t="s">
        <v>10</v>
      </c>
      <c r="S7" s="10" t="s">
        <v>10</v>
      </c>
      <c r="T7" s="10" t="s">
        <v>10</v>
      </c>
      <c r="U7" s="11" t="s">
        <v>10</v>
      </c>
      <c r="V7" s="11">
        <v>3</v>
      </c>
      <c r="X7" s="18" t="s">
        <v>10</v>
      </c>
      <c r="Y7" s="18">
        <v>2</v>
      </c>
      <c r="Z7" s="18" t="s">
        <v>10</v>
      </c>
      <c r="AA7" s="18" t="s">
        <v>10</v>
      </c>
      <c r="AB7" s="18" t="s">
        <v>10</v>
      </c>
      <c r="AC7" s="18" t="s">
        <v>10</v>
      </c>
    </row>
    <row r="8" spans="2:29" ht="14.25" customHeight="1">
      <c r="B8" s="6" t="s">
        <v>3</v>
      </c>
      <c r="C8" s="8"/>
      <c r="D8" s="5">
        <v>2</v>
      </c>
      <c r="E8" s="2">
        <v>2</v>
      </c>
      <c r="F8" s="2">
        <v>1</v>
      </c>
      <c r="G8" s="3" t="s">
        <v>10</v>
      </c>
      <c r="H8" s="4" t="s">
        <v>10</v>
      </c>
      <c r="J8" s="1" t="s">
        <v>10</v>
      </c>
      <c r="K8" s="5">
        <v>1</v>
      </c>
      <c r="L8" s="2">
        <v>3</v>
      </c>
      <c r="M8" s="2" t="s">
        <v>10</v>
      </c>
      <c r="N8" s="3">
        <v>1</v>
      </c>
      <c r="O8" s="4">
        <v>2</v>
      </c>
      <c r="P8" s="4" t="s">
        <v>10</v>
      </c>
      <c r="R8" s="9">
        <v>1</v>
      </c>
      <c r="S8" s="10">
        <v>1</v>
      </c>
      <c r="T8" s="10" t="s">
        <v>10</v>
      </c>
      <c r="U8" s="11">
        <v>3</v>
      </c>
      <c r="V8" s="11" t="s">
        <v>10</v>
      </c>
      <c r="X8" s="18">
        <v>1</v>
      </c>
      <c r="Y8" s="18">
        <v>2</v>
      </c>
      <c r="Z8" s="18">
        <v>3</v>
      </c>
      <c r="AA8" s="18">
        <v>1</v>
      </c>
      <c r="AB8" s="18" t="s">
        <v>10</v>
      </c>
      <c r="AC8" s="18" t="s">
        <v>10</v>
      </c>
    </row>
    <row r="9" spans="2:29" ht="14.25" customHeight="1">
      <c r="B9" s="6" t="s">
        <v>4</v>
      </c>
      <c r="C9" s="8"/>
      <c r="D9" s="5">
        <v>2</v>
      </c>
      <c r="E9" s="2">
        <v>1</v>
      </c>
      <c r="F9" s="2">
        <v>1</v>
      </c>
      <c r="G9" s="3">
        <v>1</v>
      </c>
      <c r="H9" s="4">
        <v>1</v>
      </c>
      <c r="J9" s="1" t="s">
        <v>10</v>
      </c>
      <c r="K9" s="5">
        <v>2</v>
      </c>
      <c r="L9" s="2">
        <v>3</v>
      </c>
      <c r="M9" s="2">
        <v>1</v>
      </c>
      <c r="N9" s="3">
        <v>2</v>
      </c>
      <c r="O9" s="4" t="s">
        <v>10</v>
      </c>
      <c r="P9" s="4">
        <v>3</v>
      </c>
      <c r="R9" s="9" t="s">
        <v>10</v>
      </c>
      <c r="S9" s="10" t="s">
        <v>10</v>
      </c>
      <c r="T9" s="10">
        <v>1</v>
      </c>
      <c r="U9" s="11" t="s">
        <v>10</v>
      </c>
      <c r="V9" s="11">
        <v>1</v>
      </c>
      <c r="X9" s="18" t="s">
        <v>10</v>
      </c>
      <c r="Y9" s="18">
        <v>2</v>
      </c>
      <c r="Z9" s="18" t="s">
        <v>10</v>
      </c>
      <c r="AA9" s="18">
        <v>1</v>
      </c>
      <c r="AB9" s="18">
        <v>2</v>
      </c>
      <c r="AC9" s="18">
        <v>2</v>
      </c>
    </row>
    <row r="10" spans="2:29" ht="14.25" customHeight="1">
      <c r="B10" s="6" t="s">
        <v>5</v>
      </c>
      <c r="C10" s="8"/>
      <c r="D10" s="5">
        <v>1</v>
      </c>
      <c r="E10" s="2">
        <v>1</v>
      </c>
      <c r="F10" s="2">
        <v>3</v>
      </c>
      <c r="G10" s="3" t="s">
        <v>10</v>
      </c>
      <c r="H10" s="4">
        <v>1</v>
      </c>
      <c r="J10" s="1" t="s">
        <v>10</v>
      </c>
      <c r="K10" s="5" t="s">
        <v>10</v>
      </c>
      <c r="L10" s="2" t="s">
        <v>10</v>
      </c>
      <c r="M10" s="2">
        <v>1</v>
      </c>
      <c r="N10" s="3">
        <v>3</v>
      </c>
      <c r="O10" s="4">
        <v>2</v>
      </c>
      <c r="P10" s="4" t="s">
        <v>10</v>
      </c>
      <c r="R10" s="9">
        <v>2</v>
      </c>
      <c r="S10" s="10">
        <v>2</v>
      </c>
      <c r="T10" s="10" t="s">
        <v>10</v>
      </c>
      <c r="U10" s="11" t="s">
        <v>10</v>
      </c>
      <c r="V10" s="11" t="s">
        <v>10</v>
      </c>
      <c r="X10" s="18" t="s">
        <v>10</v>
      </c>
      <c r="Y10" s="18">
        <v>2</v>
      </c>
      <c r="Z10" s="18" t="s">
        <v>10</v>
      </c>
      <c r="AA10" s="18" t="s">
        <v>10</v>
      </c>
      <c r="AB10" s="18" t="s">
        <v>10</v>
      </c>
      <c r="AC10" s="18" t="s">
        <v>10</v>
      </c>
    </row>
    <row r="11" spans="2:29" ht="14.25" customHeight="1">
      <c r="B11" s="6" t="s">
        <v>6</v>
      </c>
      <c r="C11" s="8"/>
      <c r="D11" s="5">
        <v>1</v>
      </c>
      <c r="E11" s="2">
        <v>1</v>
      </c>
      <c r="F11" s="2">
        <v>2</v>
      </c>
      <c r="G11" s="3">
        <v>1</v>
      </c>
      <c r="H11" s="4">
        <v>3</v>
      </c>
      <c r="J11" s="1"/>
      <c r="K11" s="5" t="s">
        <v>10</v>
      </c>
      <c r="L11" s="2" t="s">
        <v>10</v>
      </c>
      <c r="M11" s="2" t="s">
        <v>10</v>
      </c>
      <c r="N11" s="3">
        <v>1</v>
      </c>
      <c r="O11" s="4">
        <v>1</v>
      </c>
      <c r="P11" s="4" t="s">
        <v>10</v>
      </c>
      <c r="R11" s="9" t="s">
        <v>10</v>
      </c>
      <c r="S11" s="10" t="s">
        <v>10</v>
      </c>
      <c r="T11" s="10">
        <v>1</v>
      </c>
      <c r="U11" s="11">
        <v>2</v>
      </c>
      <c r="V11" s="11" t="s">
        <v>10</v>
      </c>
      <c r="X11" s="18">
        <v>3</v>
      </c>
      <c r="Y11" s="18">
        <v>3</v>
      </c>
      <c r="Z11" s="18">
        <v>1</v>
      </c>
      <c r="AA11" s="18" t="s">
        <v>10</v>
      </c>
      <c r="AB11" s="18">
        <v>1</v>
      </c>
      <c r="AC11" s="18">
        <v>1</v>
      </c>
    </row>
    <row r="12" spans="2:29" ht="14.25" customHeight="1">
      <c r="B12" s="6" t="s">
        <v>7</v>
      </c>
      <c r="C12" s="8"/>
      <c r="D12" s="5">
        <v>1</v>
      </c>
      <c r="E12" s="2" t="s">
        <v>10</v>
      </c>
      <c r="F12" s="2">
        <v>1</v>
      </c>
      <c r="G12" s="3" t="s">
        <v>10</v>
      </c>
      <c r="H12" s="4">
        <v>3</v>
      </c>
      <c r="J12" s="1">
        <v>1</v>
      </c>
      <c r="K12" s="5">
        <v>1</v>
      </c>
      <c r="L12" s="2">
        <v>1</v>
      </c>
      <c r="M12" s="2" t="s">
        <v>10</v>
      </c>
      <c r="N12" s="3" t="s">
        <v>10</v>
      </c>
      <c r="O12" s="4" t="s">
        <v>10</v>
      </c>
      <c r="P12" s="4">
        <v>1</v>
      </c>
      <c r="R12" s="9">
        <v>3</v>
      </c>
      <c r="S12" s="10" t="s">
        <v>10</v>
      </c>
      <c r="T12" s="10" t="s">
        <v>10</v>
      </c>
      <c r="U12" s="11" t="s">
        <v>10</v>
      </c>
      <c r="V12" s="11" t="s">
        <v>10</v>
      </c>
      <c r="X12" s="18">
        <v>1</v>
      </c>
      <c r="Y12" s="18">
        <v>2</v>
      </c>
      <c r="Z12" s="18" t="s">
        <v>10</v>
      </c>
      <c r="AA12" s="18">
        <v>1</v>
      </c>
      <c r="AB12" s="18">
        <v>3</v>
      </c>
      <c r="AC12" s="18">
        <v>3</v>
      </c>
    </row>
    <row r="13" spans="2:29" ht="14.25" customHeight="1">
      <c r="B13" s="6" t="s">
        <v>8</v>
      </c>
      <c r="C13" s="8"/>
      <c r="D13" s="5" t="s">
        <v>10</v>
      </c>
      <c r="E13" s="2" t="s">
        <v>10</v>
      </c>
      <c r="F13" s="2" t="s">
        <v>10</v>
      </c>
      <c r="G13" s="3">
        <v>3</v>
      </c>
      <c r="H13" s="4" t="s">
        <v>10</v>
      </c>
      <c r="J13" s="1" t="s">
        <v>10</v>
      </c>
      <c r="K13" s="5">
        <v>2</v>
      </c>
      <c r="L13" s="2">
        <v>3</v>
      </c>
      <c r="M13" s="2" t="s">
        <v>10</v>
      </c>
      <c r="N13" s="3" t="s">
        <v>10</v>
      </c>
      <c r="O13" s="4" t="s">
        <v>10</v>
      </c>
      <c r="P13" s="4">
        <v>1</v>
      </c>
      <c r="R13" s="9" t="s">
        <v>10</v>
      </c>
      <c r="S13" s="10">
        <v>1</v>
      </c>
      <c r="T13" s="10">
        <v>1</v>
      </c>
      <c r="U13" s="11">
        <v>1</v>
      </c>
      <c r="V13" s="11">
        <v>1</v>
      </c>
      <c r="X13" s="18">
        <v>2</v>
      </c>
      <c r="Y13" s="18">
        <v>3</v>
      </c>
      <c r="Z13" s="18">
        <v>2</v>
      </c>
      <c r="AA13" s="18">
        <v>3</v>
      </c>
      <c r="AB13" s="18">
        <v>1</v>
      </c>
      <c r="AC13" s="18">
        <v>1</v>
      </c>
    </row>
    <row r="14" spans="2:29" ht="14.25" customHeight="1">
      <c r="B14" s="6" t="s">
        <v>9</v>
      </c>
      <c r="C14" s="8"/>
      <c r="D14" s="5">
        <v>3</v>
      </c>
      <c r="E14" s="2" t="s">
        <v>10</v>
      </c>
      <c r="F14" s="2">
        <v>1</v>
      </c>
      <c r="G14" s="3">
        <v>2</v>
      </c>
      <c r="H14" s="4">
        <v>1</v>
      </c>
      <c r="J14" s="1"/>
      <c r="K14" s="5">
        <v>3</v>
      </c>
      <c r="L14" s="2">
        <v>3</v>
      </c>
      <c r="M14" s="2">
        <v>1</v>
      </c>
      <c r="N14" s="3">
        <v>2</v>
      </c>
      <c r="O14" s="4" t="s">
        <v>10</v>
      </c>
      <c r="P14" s="4">
        <v>3</v>
      </c>
      <c r="R14" s="9">
        <v>1</v>
      </c>
      <c r="S14" s="10" t="s">
        <v>10</v>
      </c>
      <c r="T14" s="10">
        <v>2</v>
      </c>
      <c r="U14" s="11" t="s">
        <v>10</v>
      </c>
      <c r="V14" s="11">
        <v>2</v>
      </c>
      <c r="X14" s="18">
        <v>1</v>
      </c>
      <c r="Y14" s="18">
        <v>2</v>
      </c>
      <c r="Z14" s="18">
        <v>1</v>
      </c>
      <c r="AA14" s="18">
        <v>3</v>
      </c>
      <c r="AB14" s="18">
        <v>2</v>
      </c>
      <c r="AC14" s="18">
        <v>2</v>
      </c>
    </row>
    <row r="16" spans="2:29">
      <c r="B16" s="27" t="s">
        <v>351</v>
      </c>
    </row>
    <row r="17" spans="2:21">
      <c r="B17" s="26" t="s">
        <v>354</v>
      </c>
      <c r="T17">
        <v>5</v>
      </c>
    </row>
    <row r="18" spans="2:21">
      <c r="B18" s="26" t="s">
        <v>352</v>
      </c>
      <c r="U18">
        <v>10</v>
      </c>
    </row>
    <row r="19" spans="2:21">
      <c r="B19" s="26" t="s">
        <v>353</v>
      </c>
      <c r="K19">
        <v>2</v>
      </c>
      <c r="L19">
        <v>2</v>
      </c>
      <c r="U19">
        <v>10</v>
      </c>
    </row>
    <row r="20" spans="2:21">
      <c r="B20" s="26" t="s">
        <v>355</v>
      </c>
      <c r="O20">
        <v>5</v>
      </c>
      <c r="T20">
        <v>15</v>
      </c>
    </row>
    <row r="21" spans="2:21">
      <c r="B21" s="26" t="s">
        <v>377</v>
      </c>
      <c r="O21">
        <v>5</v>
      </c>
    </row>
    <row r="22" spans="2:21">
      <c r="B22" s="26" t="s">
        <v>378</v>
      </c>
      <c r="J22">
        <v>15</v>
      </c>
    </row>
    <row r="23" spans="2:21">
      <c r="B23" s="26" t="s">
        <v>379</v>
      </c>
      <c r="J23">
        <v>5</v>
      </c>
    </row>
    <row r="24" spans="2:21">
      <c r="B24" s="26" t="s">
        <v>380</v>
      </c>
      <c r="M24">
        <v>10</v>
      </c>
      <c r="N24">
        <v>10</v>
      </c>
    </row>
    <row r="25" spans="2:21">
      <c r="B25" s="26" t="s">
        <v>381</v>
      </c>
      <c r="M25">
        <v>10</v>
      </c>
      <c r="N25">
        <v>10</v>
      </c>
    </row>
    <row r="26" spans="2:21">
      <c r="B26" s="26" t="s">
        <v>382</v>
      </c>
      <c r="K26">
        <v>2</v>
      </c>
      <c r="L26">
        <v>2</v>
      </c>
    </row>
  </sheetData>
  <mergeCells count="7">
    <mergeCell ref="AB3:AC3"/>
    <mergeCell ref="X2:AC2"/>
    <mergeCell ref="D2:H2"/>
    <mergeCell ref="K3:L3"/>
    <mergeCell ref="M3:N3"/>
    <mergeCell ref="J2:P2"/>
    <mergeCell ref="R2:V2"/>
  </mergeCells>
  <conditionalFormatting sqref="D5:H5">
    <cfRule type="top10" dxfId="67" priority="79" rank="1"/>
    <cfRule type="top10" dxfId="66" priority="81" rank="1"/>
  </conditionalFormatting>
  <conditionalFormatting sqref="D5:H14">
    <cfRule type="top10" dxfId="65" priority="80" rank="1"/>
  </conditionalFormatting>
  <conditionalFormatting sqref="D6:H6">
    <cfRule type="top10" dxfId="64" priority="77" rank="1"/>
    <cfRule type="top10" dxfId="63" priority="78" rank="1"/>
  </conditionalFormatting>
  <conditionalFormatting sqref="D7:H7">
    <cfRule type="top10" dxfId="62" priority="75" rank="1"/>
    <cfRule type="top10" dxfId="61" priority="76" rank="1"/>
  </conditionalFormatting>
  <conditionalFormatting sqref="D8:H8">
    <cfRule type="top10" dxfId="60" priority="73" rank="1"/>
    <cfRule type="top10" dxfId="59" priority="74" rank="1"/>
  </conditionalFormatting>
  <conditionalFormatting sqref="D9:H9">
    <cfRule type="top10" dxfId="58" priority="71" rank="1"/>
    <cfRule type="top10" dxfId="57" priority="72" rank="1"/>
  </conditionalFormatting>
  <conditionalFormatting sqref="D10:H14">
    <cfRule type="top10" dxfId="56" priority="69" rank="1"/>
    <cfRule type="top10" dxfId="55" priority="70" rank="1"/>
  </conditionalFormatting>
  <conditionalFormatting sqref="J5:O5">
    <cfRule type="top10" dxfId="54" priority="66" rank="1"/>
    <cfRule type="top10" dxfId="53" priority="68" rank="1"/>
  </conditionalFormatting>
  <conditionalFormatting sqref="J5:O14">
    <cfRule type="top10" dxfId="52" priority="67" rank="1"/>
  </conditionalFormatting>
  <conditionalFormatting sqref="J6:O6">
    <cfRule type="top10" dxfId="51" priority="64" rank="1"/>
    <cfRule type="top10" dxfId="50" priority="65" rank="1"/>
  </conditionalFormatting>
  <conditionalFormatting sqref="J7:O7">
    <cfRule type="top10" dxfId="49" priority="62" rank="1"/>
    <cfRule type="top10" dxfId="48" priority="63" rank="1"/>
  </conditionalFormatting>
  <conditionalFormatting sqref="J8:O8">
    <cfRule type="top10" dxfId="47" priority="60" rank="1"/>
    <cfRule type="top10" dxfId="46" priority="61" rank="1"/>
  </conditionalFormatting>
  <conditionalFormatting sqref="J9:O9">
    <cfRule type="top10" dxfId="45" priority="58" rank="1"/>
    <cfRule type="top10" dxfId="44" priority="59" rank="1"/>
  </conditionalFormatting>
  <conditionalFormatting sqref="J10:O14">
    <cfRule type="top10" dxfId="43" priority="56" rank="1"/>
    <cfRule type="top10" dxfId="42" priority="57" rank="1"/>
  </conditionalFormatting>
  <conditionalFormatting sqref="D11:H11">
    <cfRule type="top10" dxfId="41" priority="54" rank="1"/>
    <cfRule type="top10" dxfId="40" priority="55" rank="1"/>
  </conditionalFormatting>
  <conditionalFormatting sqref="D12:H12">
    <cfRule type="top10" dxfId="39" priority="52" rank="1"/>
    <cfRule type="top10" dxfId="38" priority="53" rank="1"/>
  </conditionalFormatting>
  <conditionalFormatting sqref="D13:H13">
    <cfRule type="top10" dxfId="37" priority="50" rank="1"/>
    <cfRule type="top10" dxfId="36" priority="51" rank="1"/>
  </conditionalFormatting>
  <conditionalFormatting sqref="D14:H14">
    <cfRule type="top10" dxfId="35" priority="48" rank="1"/>
    <cfRule type="top10" dxfId="34" priority="49" rank="1"/>
  </conditionalFormatting>
  <conditionalFormatting sqref="P5">
    <cfRule type="top10" dxfId="33" priority="45" rank="1"/>
    <cfRule type="top10" dxfId="32" priority="47" rank="1"/>
  </conditionalFormatting>
  <conditionalFormatting sqref="P5:P14">
    <cfRule type="top10" dxfId="31" priority="46" rank="1"/>
  </conditionalFormatting>
  <conditionalFormatting sqref="P6">
    <cfRule type="top10" dxfId="30" priority="43" rank="1"/>
    <cfRule type="top10" dxfId="29" priority="44" rank="1"/>
  </conditionalFormatting>
  <conditionalFormatting sqref="P7">
    <cfRule type="top10" dxfId="28" priority="41" rank="1"/>
    <cfRule type="top10" dxfId="27" priority="42" rank="1"/>
  </conditionalFormatting>
  <conditionalFormatting sqref="P8">
    <cfRule type="top10" dxfId="26" priority="39" rank="1"/>
    <cfRule type="top10" dxfId="25" priority="40" rank="1"/>
  </conditionalFormatting>
  <conditionalFormatting sqref="P9">
    <cfRule type="top10" dxfId="24" priority="37" rank="1"/>
    <cfRule type="top10" dxfId="23" priority="38" rank="1"/>
  </conditionalFormatting>
  <conditionalFormatting sqref="P10:P14">
    <cfRule type="top10" dxfId="22" priority="35" rank="1"/>
    <cfRule type="top10" dxfId="21" priority="36" rank="1"/>
  </conditionalFormatting>
  <conditionalFormatting sqref="R5:V5">
    <cfRule type="top10" dxfId="20" priority="19" rank="1"/>
    <cfRule type="top10" dxfId="19" priority="21" rank="1"/>
  </conditionalFormatting>
  <conditionalFormatting sqref="R5:V14">
    <cfRule type="top10" dxfId="18" priority="20" rank="1"/>
  </conditionalFormatting>
  <conditionalFormatting sqref="R6:V6">
    <cfRule type="top10" dxfId="17" priority="17" rank="1"/>
    <cfRule type="top10" dxfId="16" priority="18" rank="1"/>
  </conditionalFormatting>
  <conditionalFormatting sqref="R7:V7">
    <cfRule type="top10" dxfId="15" priority="15" rank="1"/>
    <cfRule type="top10" dxfId="14" priority="16" rank="1"/>
  </conditionalFormatting>
  <conditionalFormatting sqref="R8:V8">
    <cfRule type="top10" dxfId="13" priority="13" rank="1"/>
    <cfRule type="top10" dxfId="12" priority="14" rank="1"/>
  </conditionalFormatting>
  <conditionalFormatting sqref="R9:V9">
    <cfRule type="top10" dxfId="11" priority="11" rank="1"/>
    <cfRule type="top10" dxfId="10" priority="12" rank="1"/>
  </conditionalFormatting>
  <conditionalFormatting sqref="R10:V14">
    <cfRule type="top10" dxfId="9" priority="9" rank="1"/>
    <cfRule type="top10" dxfId="8" priority="10" rank="1"/>
  </conditionalFormatting>
  <conditionalFormatting sqref="R11:V11">
    <cfRule type="top10" dxfId="7" priority="7" rank="1"/>
    <cfRule type="top10" dxfId="6" priority="8" rank="1"/>
  </conditionalFormatting>
  <conditionalFormatting sqref="R12:V12">
    <cfRule type="top10" dxfId="5" priority="5" rank="1"/>
    <cfRule type="top10" dxfId="4" priority="6" rank="1"/>
  </conditionalFormatting>
  <conditionalFormatting sqref="R13:V13">
    <cfRule type="top10" dxfId="3" priority="3" rank="1"/>
    <cfRule type="top10" dxfId="2" priority="4" rank="1"/>
  </conditionalFormatting>
  <conditionalFormatting sqref="R14:V14">
    <cfRule type="top10" dxfId="1" priority="1" rank="1"/>
    <cfRule type="top10" dxfId="0" priority="2" rank="1"/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Datacrons</vt:lpstr>
      <vt:lpstr>Cad. Partenaires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PoLuX</dc:creator>
  <cp:lastModifiedBy>PoLuX</cp:lastModifiedBy>
  <dcterms:created xsi:type="dcterms:W3CDTF">2012-03-05T17:20:57Z</dcterms:created>
  <dcterms:modified xsi:type="dcterms:W3CDTF">2012-05-04T20:30:49Z</dcterms:modified>
</cp:coreProperties>
</file>